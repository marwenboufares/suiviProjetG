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boufares\Desktop\Nouveau dossier\suiviProjetG\BDD\"/>
    </mc:Choice>
  </mc:AlternateContent>
  <xr:revisionPtr revIDLastSave="0" documentId="13_ncr:1_{A3E9023A-7AF6-4DD4-889D-CF6B31D9ECC7}" xr6:coauthVersionLast="47" xr6:coauthVersionMax="47" xr10:uidLastSave="{00000000-0000-0000-0000-000000000000}"/>
  <bookViews>
    <workbookView xWindow="-108" yWindow="-108" windowWidth="23256" windowHeight="12576" tabRatio="688" xr2:uid="{00000000-000D-0000-FFFF-FFFF00000000}"/>
  </bookViews>
  <sheets>
    <sheet name="BILAN" sheetId="106" r:id="rId1"/>
    <sheet name="debut" sheetId="104" state="hidden" r:id="rId2"/>
    <sheet name="Se41" sheetId="17" state="hidden" r:id="rId3"/>
    <sheet name="Se42" sheetId="18" state="hidden" r:id="rId4"/>
    <sheet name="Se43" sheetId="19" state="hidden" r:id="rId5"/>
    <sheet name="Se44" sheetId="20" state="hidden" r:id="rId6"/>
    <sheet name="Se45" sheetId="21" state="hidden" r:id="rId7"/>
    <sheet name="Se46" sheetId="22" state="hidden" r:id="rId8"/>
    <sheet name="Se47" sheetId="23" state="hidden" r:id="rId9"/>
    <sheet name="Se48" sheetId="24" state="hidden" r:id="rId10"/>
    <sheet name="Se49" sheetId="25" state="hidden" r:id="rId11"/>
    <sheet name="Se50" sheetId="26" state="hidden" r:id="rId12"/>
    <sheet name="Se51" sheetId="27" state="hidden" r:id="rId13"/>
    <sheet name="Se52" sheetId="28" state="hidden" r:id="rId14"/>
    <sheet name="Se01" sheetId="57" state="hidden" r:id="rId15"/>
    <sheet name="Se02" sheetId="58" state="hidden" r:id="rId16"/>
    <sheet name="Se03" sheetId="59" state="hidden" r:id="rId17"/>
    <sheet name="Se04" sheetId="60" state="hidden" r:id="rId18"/>
    <sheet name="Se05" sheetId="61" state="hidden" r:id="rId19"/>
    <sheet name="Se06" sheetId="62" state="hidden" r:id="rId20"/>
    <sheet name="Se07" sheetId="63" state="hidden" r:id="rId21"/>
    <sheet name="Se08" sheetId="64" state="hidden" r:id="rId22"/>
    <sheet name="Se09" sheetId="65" state="hidden" r:id="rId23"/>
    <sheet name="Se10" sheetId="66" state="hidden" r:id="rId24"/>
    <sheet name="Se11" sheetId="67" state="hidden" r:id="rId25"/>
    <sheet name="Se12" sheetId="68" state="hidden" r:id="rId26"/>
    <sheet name="Se13" sheetId="69" state="hidden" r:id="rId27"/>
    <sheet name="Se14" sheetId="70" state="hidden" r:id="rId28"/>
    <sheet name="Se15" sheetId="71" state="hidden" r:id="rId29"/>
    <sheet name="Se16" sheetId="72" state="hidden" r:id="rId30"/>
    <sheet name="Se17" sheetId="73" state="hidden" r:id="rId31"/>
    <sheet name="Se18" sheetId="74" state="hidden" r:id="rId32"/>
    <sheet name="Se19" sheetId="75" state="hidden" r:id="rId33"/>
    <sheet name="Se20" sheetId="76" state="hidden" r:id="rId34"/>
    <sheet name="Se21" sheetId="77" state="hidden" r:id="rId35"/>
    <sheet name="Se22" sheetId="78" state="hidden" r:id="rId36"/>
    <sheet name="Se23" sheetId="79" state="hidden" r:id="rId37"/>
    <sheet name="Se24" sheetId="80" state="hidden" r:id="rId38"/>
    <sheet name="Se25" sheetId="81" state="hidden" r:id="rId39"/>
    <sheet name="Se26" sheetId="82" state="hidden" r:id="rId40"/>
    <sheet name="Se27" sheetId="83" state="hidden" r:id="rId41"/>
    <sheet name="Se28" sheetId="84" state="hidden" r:id="rId42"/>
    <sheet name="Se29" sheetId="85" state="hidden" r:id="rId43"/>
    <sheet name="Se30" sheetId="86" state="hidden" r:id="rId44"/>
    <sheet name="Se31" sheetId="87" state="hidden" r:id="rId45"/>
    <sheet name="Se32" sheetId="88" state="hidden" r:id="rId46"/>
    <sheet name="Se33" sheetId="89" state="hidden" r:id="rId47"/>
    <sheet name="Se34" sheetId="90" state="hidden" r:id="rId48"/>
    <sheet name="Se35" sheetId="91" state="hidden" r:id="rId49"/>
    <sheet name="Se36" sheetId="92" state="hidden" r:id="rId50"/>
    <sheet name="Se37" sheetId="93" state="hidden" r:id="rId51"/>
    <sheet name="Se38" sheetId="94" state="hidden" r:id="rId52"/>
    <sheet name="Se39" sheetId="95" state="hidden" r:id="rId53"/>
    <sheet name="fin" sheetId="105" state="hidden" r:id="rId54"/>
  </sheets>
  <functionGroups builtInGroupCount="19"/>
  <definedNames>
    <definedName name="FTI">#REF!</definedName>
    <definedName name="METIER">#REF!</definedName>
    <definedName name="PROJET">#REF!</definedName>
    <definedName name="TACH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1" i="106" l="1"/>
  <c r="C51" i="106"/>
  <c r="G32" i="106"/>
  <c r="G2" i="106"/>
  <c r="H42" i="106"/>
  <c r="H43" i="106"/>
  <c r="H44" i="106"/>
  <c r="H45" i="106"/>
  <c r="H46" i="106"/>
  <c r="H47" i="106"/>
  <c r="H41" i="106"/>
  <c r="H34" i="106"/>
  <c r="H35" i="106"/>
  <c r="H36" i="106"/>
  <c r="H37" i="106"/>
  <c r="H38" i="106"/>
  <c r="H39" i="106"/>
  <c r="H33" i="106"/>
  <c r="H6" i="106"/>
  <c r="H7" i="106"/>
  <c r="H8" i="106"/>
  <c r="H9" i="106"/>
  <c r="H10" i="106"/>
  <c r="H11" i="106"/>
  <c r="H12" i="106"/>
  <c r="H13" i="106"/>
  <c r="H14" i="106"/>
  <c r="H16" i="106"/>
  <c r="H17" i="106"/>
  <c r="H18" i="106"/>
  <c r="H19" i="106"/>
  <c r="H20" i="106"/>
  <c r="H21" i="106"/>
  <c r="H22" i="106"/>
  <c r="H23" i="106"/>
  <c r="H24" i="106"/>
  <c r="H25" i="106"/>
  <c r="H26" i="106"/>
  <c r="H27" i="106"/>
  <c r="H28" i="106"/>
  <c r="H29" i="106"/>
  <c r="H30" i="106"/>
  <c r="H31" i="106"/>
  <c r="H5" i="106"/>
  <c r="H4" i="106"/>
  <c r="C7" i="106" l="1"/>
  <c r="C23" i="106"/>
  <c r="C22" i="106"/>
  <c r="C10" i="106"/>
  <c r="C6" i="106"/>
  <c r="C4" i="106"/>
  <c r="C21" i="106"/>
  <c r="C20" i="106"/>
  <c r="C9" i="106"/>
  <c r="C8" i="106"/>
  <c r="C5" i="106"/>
  <c r="C25" i="106"/>
  <c r="C24" i="106"/>
  <c r="D28" i="106" l="1"/>
  <c r="D22" i="106"/>
  <c r="D12" i="106"/>
  <c r="D4" i="106"/>
  <c r="E11" i="106" l="1"/>
  <c r="D11" i="106"/>
  <c r="E19" i="106"/>
  <c r="D19" i="106"/>
  <c r="E24" i="106"/>
  <c r="D24" i="106"/>
  <c r="E15" i="106"/>
  <c r="D15" i="106"/>
  <c r="E17" i="106"/>
  <c r="D17" i="106"/>
  <c r="E10" i="106"/>
  <c r="D10" i="106"/>
  <c r="E16" i="106"/>
  <c r="D16" i="106"/>
  <c r="E27" i="106"/>
  <c r="D27" i="106"/>
  <c r="E20" i="106"/>
  <c r="D20" i="106"/>
  <c r="E29" i="106"/>
  <c r="D29" i="106"/>
  <c r="E6" i="106"/>
  <c r="D6" i="106"/>
  <c r="E25" i="106"/>
  <c r="D25" i="106"/>
  <c r="E9" i="106"/>
  <c r="D9" i="106"/>
  <c r="E7" i="106"/>
  <c r="D7" i="106"/>
  <c r="E26" i="106"/>
  <c r="D26" i="106"/>
  <c r="E31" i="106"/>
  <c r="D31" i="106"/>
  <c r="E8" i="106"/>
  <c r="D8" i="106"/>
  <c r="E14" i="106"/>
  <c r="D14" i="106"/>
  <c r="E23" i="106"/>
  <c r="D23" i="106"/>
  <c r="E18" i="106"/>
  <c r="D18" i="106"/>
  <c r="E13" i="106"/>
  <c r="D13" i="106"/>
  <c r="E30" i="106"/>
  <c r="D30" i="106"/>
  <c r="E5" i="106"/>
  <c r="D5" i="106"/>
  <c r="E21" i="106"/>
  <c r="D21" i="106"/>
  <c r="F6" i="106"/>
  <c r="F30" i="106"/>
  <c r="F22" i="106"/>
  <c r="F26" i="106"/>
  <c r="F14" i="106"/>
  <c r="F28" i="106"/>
  <c r="F8" i="106"/>
  <c r="F24" i="106"/>
  <c r="F20" i="106"/>
  <c r="E28" i="106"/>
  <c r="F12" i="106"/>
  <c r="F18" i="106"/>
  <c r="E12" i="106"/>
  <c r="E22" i="106"/>
  <c r="F10" i="106"/>
  <c r="F16" i="106"/>
  <c r="E4" i="106"/>
  <c r="F4" i="106"/>
  <c r="M56" i="18"/>
  <c r="M56" i="19"/>
  <c r="M56" i="20"/>
  <c r="M56" i="21"/>
  <c r="M56" i="22"/>
  <c r="M56" i="23"/>
  <c r="M56" i="24"/>
  <c r="M56" i="25"/>
  <c r="M56" i="26"/>
  <c r="M56" i="27"/>
  <c r="M56" i="28"/>
  <c r="M56" i="57"/>
  <c r="M56" i="58"/>
  <c r="M56" i="59"/>
  <c r="M56" i="60"/>
  <c r="M56" i="61"/>
  <c r="M56" i="62"/>
  <c r="M56" i="63"/>
  <c r="M56" i="64"/>
  <c r="M56" i="65"/>
  <c r="M56" i="66"/>
  <c r="M56" i="67"/>
  <c r="M56" i="68"/>
  <c r="M56" i="69"/>
  <c r="M56" i="70"/>
  <c r="M56" i="71"/>
  <c r="M56" i="72"/>
  <c r="M56" i="73"/>
  <c r="M56" i="74"/>
  <c r="M56" i="75"/>
  <c r="M56" i="76"/>
  <c r="M56" i="77"/>
  <c r="M56" i="78"/>
  <c r="M56" i="79"/>
  <c r="M56" i="80"/>
  <c r="M56" i="81"/>
  <c r="M56" i="82"/>
  <c r="M56" i="83"/>
  <c r="M56" i="84"/>
  <c r="M56" i="85"/>
  <c r="M56" i="86"/>
  <c r="M56" i="87"/>
  <c r="M56" i="88"/>
  <c r="M56" i="89"/>
  <c r="M56" i="90"/>
  <c r="M56" i="91"/>
  <c r="M56" i="92"/>
  <c r="M56" i="93"/>
  <c r="M56" i="94"/>
  <c r="M56" i="95"/>
  <c r="M56" i="17"/>
  <c r="M55" i="18"/>
  <c r="M55" i="19"/>
  <c r="M55" i="20"/>
  <c r="M55" i="21"/>
  <c r="M55" i="22"/>
  <c r="M55" i="23"/>
  <c r="M55" i="24"/>
  <c r="M55" i="25"/>
  <c r="M55" i="26"/>
  <c r="M55" i="27"/>
  <c r="M55" i="28"/>
  <c r="M55" i="57"/>
  <c r="M55" i="58"/>
  <c r="M55" i="59"/>
  <c r="M55" i="60"/>
  <c r="M55" i="61"/>
  <c r="M55" i="62"/>
  <c r="M55" i="63"/>
  <c r="M55" i="64"/>
  <c r="M55" i="65"/>
  <c r="M55" i="66"/>
  <c r="M55" i="67"/>
  <c r="M55" i="68"/>
  <c r="M55" i="69"/>
  <c r="M55" i="70"/>
  <c r="M55" i="71"/>
  <c r="M55" i="72"/>
  <c r="M55" i="73"/>
  <c r="M55" i="74"/>
  <c r="M55" i="75"/>
  <c r="M55" i="76"/>
  <c r="M55" i="77"/>
  <c r="M55" i="78"/>
  <c r="M55" i="79"/>
  <c r="M55" i="80"/>
  <c r="M55" i="81"/>
  <c r="M55" i="82"/>
  <c r="M55" i="83"/>
  <c r="M55" i="84"/>
  <c r="M55" i="85"/>
  <c r="M55" i="86"/>
  <c r="M55" i="87"/>
  <c r="M55" i="88"/>
  <c r="M55" i="89"/>
  <c r="M55" i="90"/>
  <c r="M55" i="91"/>
  <c r="M55" i="92"/>
  <c r="M55" i="93"/>
  <c r="M55" i="94"/>
  <c r="M55" i="95"/>
  <c r="M55" i="17"/>
  <c r="M46" i="18"/>
  <c r="M46" i="19"/>
  <c r="M46" i="20"/>
  <c r="M46" i="21"/>
  <c r="M46" i="22"/>
  <c r="M46" i="23"/>
  <c r="M46" i="24"/>
  <c r="M46" i="25"/>
  <c r="M46" i="26"/>
  <c r="M46" i="27"/>
  <c r="M46" i="28"/>
  <c r="M46" i="57"/>
  <c r="M46" i="58"/>
  <c r="M46" i="59"/>
  <c r="M46" i="60"/>
  <c r="M46" i="61"/>
  <c r="M46" i="62"/>
  <c r="M46" i="63"/>
  <c r="M46" i="64"/>
  <c r="M46" i="65"/>
  <c r="M46" i="66"/>
  <c r="M46" i="67"/>
  <c r="M46" i="68"/>
  <c r="M46" i="69"/>
  <c r="M46" i="70"/>
  <c r="M46" i="71"/>
  <c r="M46" i="72"/>
  <c r="M46" i="73"/>
  <c r="M46" i="74"/>
  <c r="M46" i="75"/>
  <c r="M46" i="76"/>
  <c r="M46" i="77"/>
  <c r="M46" i="78"/>
  <c r="M46" i="79"/>
  <c r="M46" i="80"/>
  <c r="M46" i="81"/>
  <c r="M46" i="82"/>
  <c r="M46" i="83"/>
  <c r="M46" i="84"/>
  <c r="M46" i="85"/>
  <c r="M46" i="86"/>
  <c r="M46" i="87"/>
  <c r="M46" i="88"/>
  <c r="M46" i="89"/>
  <c r="M46" i="90"/>
  <c r="M46" i="91"/>
  <c r="M46" i="92"/>
  <c r="M46" i="93"/>
  <c r="M46" i="94"/>
  <c r="M46" i="95"/>
  <c r="M45" i="18"/>
  <c r="M45" i="19"/>
  <c r="M45" i="20"/>
  <c r="M45" i="21"/>
  <c r="M45" i="22"/>
  <c r="M45" i="23"/>
  <c r="M45" i="24"/>
  <c r="M45" i="25"/>
  <c r="M45" i="26"/>
  <c r="M45" i="27"/>
  <c r="M45" i="28"/>
  <c r="M45" i="57"/>
  <c r="M45" i="58"/>
  <c r="M45" i="59"/>
  <c r="M45" i="60"/>
  <c r="M45" i="61"/>
  <c r="M45" i="62"/>
  <c r="M45" i="63"/>
  <c r="M45" i="64"/>
  <c r="M45" i="65"/>
  <c r="M45" i="66"/>
  <c r="M45" i="67"/>
  <c r="M45" i="68"/>
  <c r="M45" i="69"/>
  <c r="M45" i="70"/>
  <c r="M45" i="71"/>
  <c r="M45" i="72"/>
  <c r="M45" i="73"/>
  <c r="M45" i="74"/>
  <c r="M45" i="75"/>
  <c r="M45" i="76"/>
  <c r="M45" i="77"/>
  <c r="M45" i="78"/>
  <c r="M45" i="79"/>
  <c r="M45" i="80"/>
  <c r="M45" i="81"/>
  <c r="M45" i="82"/>
  <c r="M45" i="83"/>
  <c r="M45" i="84"/>
  <c r="M45" i="85"/>
  <c r="M45" i="86"/>
  <c r="M45" i="87"/>
  <c r="M45" i="88"/>
  <c r="M45" i="89"/>
  <c r="M45" i="90"/>
  <c r="M45" i="91"/>
  <c r="M45" i="92"/>
  <c r="M45" i="93"/>
  <c r="M45" i="94"/>
  <c r="M45" i="95"/>
  <c r="M45" i="17"/>
  <c r="M53" i="17"/>
  <c r="M53" i="19"/>
  <c r="M53" i="20"/>
  <c r="M53" i="21"/>
  <c r="M53" i="22"/>
  <c r="M53" i="23"/>
  <c r="M53" i="24"/>
  <c r="M53" i="25"/>
  <c r="M53" i="26"/>
  <c r="M53" i="27"/>
  <c r="M53" i="28"/>
  <c r="M53" i="57"/>
  <c r="M53" i="58"/>
  <c r="M53" i="59"/>
  <c r="M53" i="60"/>
  <c r="M53" i="61"/>
  <c r="M53" i="62"/>
  <c r="M53" i="63"/>
  <c r="M53" i="64"/>
  <c r="M53" i="65"/>
  <c r="M53" i="66"/>
  <c r="M53" i="67"/>
  <c r="M53" i="68"/>
  <c r="M53" i="69"/>
  <c r="M53" i="70"/>
  <c r="M53" i="71"/>
  <c r="M53" i="72"/>
  <c r="M53" i="73"/>
  <c r="M53" i="74"/>
  <c r="M53" i="75"/>
  <c r="M53" i="76"/>
  <c r="M53" i="77"/>
  <c r="M53" i="78"/>
  <c r="M53" i="79"/>
  <c r="M53" i="80"/>
  <c r="M53" i="81"/>
  <c r="M53" i="82"/>
  <c r="M53" i="83"/>
  <c r="M53" i="84"/>
  <c r="M53" i="85"/>
  <c r="M53" i="86"/>
  <c r="M53" i="87"/>
  <c r="M53" i="88"/>
  <c r="M53" i="89"/>
  <c r="M53" i="90"/>
  <c r="M53" i="91"/>
  <c r="M53" i="92"/>
  <c r="M53" i="93"/>
  <c r="M53" i="94"/>
  <c r="M53" i="95"/>
  <c r="M53" i="18"/>
  <c r="M52" i="17"/>
  <c r="M52" i="19"/>
  <c r="M52" i="20"/>
  <c r="M52" i="21"/>
  <c r="M52" i="22"/>
  <c r="M52" i="23"/>
  <c r="M52" i="24"/>
  <c r="M52" i="25"/>
  <c r="M52" i="26"/>
  <c r="M52" i="27"/>
  <c r="M52" i="28"/>
  <c r="M52" i="57"/>
  <c r="M52" i="58"/>
  <c r="M52" i="59"/>
  <c r="M52" i="60"/>
  <c r="M52" i="61"/>
  <c r="M52" i="62"/>
  <c r="M52" i="63"/>
  <c r="M52" i="64"/>
  <c r="M52" i="65"/>
  <c r="M52" i="66"/>
  <c r="M52" i="67"/>
  <c r="M52" i="68"/>
  <c r="M52" i="69"/>
  <c r="M52" i="70"/>
  <c r="M52" i="71"/>
  <c r="M52" i="72"/>
  <c r="M52" i="73"/>
  <c r="M52" i="74"/>
  <c r="M52" i="75"/>
  <c r="M52" i="76"/>
  <c r="M52" i="77"/>
  <c r="M52" i="78"/>
  <c r="M52" i="79"/>
  <c r="M52" i="80"/>
  <c r="M52" i="81"/>
  <c r="M52" i="82"/>
  <c r="M52" i="83"/>
  <c r="M52" i="84"/>
  <c r="M52" i="85"/>
  <c r="M52" i="86"/>
  <c r="M52" i="87"/>
  <c r="M52" i="88"/>
  <c r="M52" i="89"/>
  <c r="M52" i="90"/>
  <c r="M52" i="91"/>
  <c r="M52" i="92"/>
  <c r="M52" i="93"/>
  <c r="M52" i="94"/>
  <c r="M52" i="95"/>
  <c r="M52" i="18"/>
  <c r="M51" i="17"/>
  <c r="M51" i="19"/>
  <c r="M51" i="20"/>
  <c r="M51" i="21"/>
  <c r="M51" i="22"/>
  <c r="M51" i="23"/>
  <c r="M51" i="24"/>
  <c r="M51" i="25"/>
  <c r="M51" i="26"/>
  <c r="M51" i="27"/>
  <c r="M51" i="28"/>
  <c r="M51" i="57"/>
  <c r="M51" i="58"/>
  <c r="M51" i="59"/>
  <c r="M51" i="60"/>
  <c r="M51" i="61"/>
  <c r="M51" i="62"/>
  <c r="M51" i="63"/>
  <c r="M51" i="64"/>
  <c r="M51" i="65"/>
  <c r="M51" i="66"/>
  <c r="M51" i="67"/>
  <c r="M51" i="68"/>
  <c r="M51" i="69"/>
  <c r="M51" i="70"/>
  <c r="M51" i="71"/>
  <c r="M51" i="72"/>
  <c r="M51" i="73"/>
  <c r="M51" i="74"/>
  <c r="M51" i="75"/>
  <c r="M51" i="76"/>
  <c r="M51" i="77"/>
  <c r="M51" i="78"/>
  <c r="M51" i="79"/>
  <c r="M51" i="80"/>
  <c r="M51" i="81"/>
  <c r="M51" i="82"/>
  <c r="M51" i="83"/>
  <c r="M51" i="84"/>
  <c r="M51" i="85"/>
  <c r="M51" i="86"/>
  <c r="M51" i="87"/>
  <c r="M51" i="88"/>
  <c r="M51" i="89"/>
  <c r="M51" i="90"/>
  <c r="M51" i="91"/>
  <c r="M51" i="92"/>
  <c r="M51" i="93"/>
  <c r="M51" i="94"/>
  <c r="M51" i="95"/>
  <c r="M51" i="18"/>
  <c r="M50" i="17"/>
  <c r="M50" i="19"/>
  <c r="M50" i="20"/>
  <c r="M50" i="21"/>
  <c r="M50" i="22"/>
  <c r="M50" i="23"/>
  <c r="M50" i="24"/>
  <c r="M50" i="25"/>
  <c r="M50" i="26"/>
  <c r="M50" i="27"/>
  <c r="M50" i="28"/>
  <c r="M50" i="57"/>
  <c r="M50" i="58"/>
  <c r="M50" i="59"/>
  <c r="M50" i="60"/>
  <c r="M50" i="61"/>
  <c r="M50" i="62"/>
  <c r="M50" i="63"/>
  <c r="M50" i="64"/>
  <c r="M50" i="65"/>
  <c r="M50" i="66"/>
  <c r="M50" i="67"/>
  <c r="M50" i="68"/>
  <c r="M50" i="69"/>
  <c r="M50" i="70"/>
  <c r="M50" i="71"/>
  <c r="M50" i="72"/>
  <c r="M50" i="73"/>
  <c r="M50" i="74"/>
  <c r="M50" i="75"/>
  <c r="M50" i="76"/>
  <c r="M50" i="77"/>
  <c r="M50" i="78"/>
  <c r="M50" i="79"/>
  <c r="M50" i="80"/>
  <c r="M50" i="81"/>
  <c r="M50" i="82"/>
  <c r="M50" i="83"/>
  <c r="M50" i="84"/>
  <c r="M50" i="85"/>
  <c r="M50" i="86"/>
  <c r="M50" i="87"/>
  <c r="M50" i="88"/>
  <c r="M50" i="89"/>
  <c r="M50" i="90"/>
  <c r="M50" i="91"/>
  <c r="M50" i="92"/>
  <c r="M50" i="93"/>
  <c r="M50" i="94"/>
  <c r="M50" i="95"/>
  <c r="M50" i="18"/>
  <c r="M42" i="17"/>
  <c r="M42" i="19"/>
  <c r="M42" i="20"/>
  <c r="M42" i="21"/>
  <c r="M42" i="22"/>
  <c r="M42" i="23"/>
  <c r="M42" i="24"/>
  <c r="M42" i="25"/>
  <c r="M42" i="26"/>
  <c r="M42" i="27"/>
  <c r="M42" i="28"/>
  <c r="M42" i="57"/>
  <c r="M42" i="58"/>
  <c r="M42" i="59"/>
  <c r="M42" i="60"/>
  <c r="M42" i="61"/>
  <c r="M42" i="62"/>
  <c r="M42" i="63"/>
  <c r="M42" i="64"/>
  <c r="M42" i="65"/>
  <c r="M42" i="66"/>
  <c r="M42" i="67"/>
  <c r="M42" i="68"/>
  <c r="M42" i="69"/>
  <c r="M42" i="70"/>
  <c r="M42" i="71"/>
  <c r="M42" i="72"/>
  <c r="M42" i="73"/>
  <c r="M42" i="74"/>
  <c r="M42" i="75"/>
  <c r="M42" i="76"/>
  <c r="M42" i="77"/>
  <c r="M42" i="78"/>
  <c r="M42" i="79"/>
  <c r="M42" i="80"/>
  <c r="M42" i="81"/>
  <c r="M42" i="82"/>
  <c r="M42" i="83"/>
  <c r="M42" i="84"/>
  <c r="M42" i="85"/>
  <c r="M42" i="86"/>
  <c r="M42" i="87"/>
  <c r="M42" i="88"/>
  <c r="M42" i="89"/>
  <c r="M42" i="90"/>
  <c r="M42" i="91"/>
  <c r="M42" i="92"/>
  <c r="M42" i="93"/>
  <c r="M42" i="94"/>
  <c r="M42" i="95"/>
  <c r="M42" i="18"/>
  <c r="M41" i="17"/>
  <c r="M41" i="19"/>
  <c r="M41" i="20"/>
  <c r="M41" i="21"/>
  <c r="M41" i="22"/>
  <c r="M41" i="23"/>
  <c r="M41" i="24"/>
  <c r="M41" i="25"/>
  <c r="M41" i="26"/>
  <c r="M41" i="27"/>
  <c r="M41" i="28"/>
  <c r="M41" i="57"/>
  <c r="M41" i="58"/>
  <c r="M41" i="59"/>
  <c r="M41" i="60"/>
  <c r="M41" i="61"/>
  <c r="M41" i="62"/>
  <c r="M41" i="63"/>
  <c r="M41" i="64"/>
  <c r="M41" i="65"/>
  <c r="M41" i="66"/>
  <c r="M41" i="67"/>
  <c r="M41" i="68"/>
  <c r="M41" i="69"/>
  <c r="M41" i="70"/>
  <c r="M41" i="71"/>
  <c r="M41" i="72"/>
  <c r="M41" i="73"/>
  <c r="M41" i="74"/>
  <c r="M41" i="75"/>
  <c r="M41" i="76"/>
  <c r="M41" i="77"/>
  <c r="M41" i="78"/>
  <c r="M41" i="79"/>
  <c r="M41" i="80"/>
  <c r="M41" i="81"/>
  <c r="M41" i="82"/>
  <c r="M41" i="83"/>
  <c r="M41" i="84"/>
  <c r="M41" i="85"/>
  <c r="M41" i="86"/>
  <c r="M41" i="87"/>
  <c r="M41" i="88"/>
  <c r="M41" i="89"/>
  <c r="M41" i="90"/>
  <c r="M41" i="91"/>
  <c r="M41" i="93"/>
  <c r="M41" i="94"/>
  <c r="M41" i="95"/>
  <c r="M41" i="18"/>
  <c r="M40" i="17"/>
  <c r="M40" i="19"/>
  <c r="M40" i="20"/>
  <c r="M40" i="21"/>
  <c r="M40" i="22"/>
  <c r="M40" i="23"/>
  <c r="M40" i="24"/>
  <c r="M40" i="25"/>
  <c r="M40" i="26"/>
  <c r="M40" i="27"/>
  <c r="M40" i="28"/>
  <c r="M40" i="57"/>
  <c r="M40" i="58"/>
  <c r="M40" i="59"/>
  <c r="M40" i="60"/>
  <c r="M40" i="61"/>
  <c r="M40" i="62"/>
  <c r="M40" i="63"/>
  <c r="M40" i="64"/>
  <c r="M40" i="65"/>
  <c r="M40" i="66"/>
  <c r="M40" i="67"/>
  <c r="M40" i="68"/>
  <c r="M40" i="69"/>
  <c r="M40" i="70"/>
  <c r="M40" i="71"/>
  <c r="M40" i="72"/>
  <c r="M40" i="73"/>
  <c r="M40" i="74"/>
  <c r="M40" i="75"/>
  <c r="M40" i="76"/>
  <c r="M40" i="77"/>
  <c r="M40" i="78"/>
  <c r="M40" i="79"/>
  <c r="M40" i="80"/>
  <c r="M40" i="81"/>
  <c r="M40" i="82"/>
  <c r="M40" i="83"/>
  <c r="M40" i="84"/>
  <c r="M40" i="85"/>
  <c r="M40" i="86"/>
  <c r="M40" i="87"/>
  <c r="M40" i="88"/>
  <c r="M40" i="89"/>
  <c r="M40" i="90"/>
  <c r="M40" i="91"/>
  <c r="M40" i="92"/>
  <c r="M40" i="93"/>
  <c r="M40" i="94"/>
  <c r="M40" i="95"/>
  <c r="M40" i="18"/>
  <c r="I34" i="95"/>
  <c r="H34" i="95"/>
  <c r="G34" i="95"/>
  <c r="F34" i="95"/>
  <c r="E34" i="95"/>
  <c r="J33" i="95"/>
  <c r="J32" i="95"/>
  <c r="J31" i="95"/>
  <c r="J30" i="95"/>
  <c r="J29" i="95"/>
  <c r="J28" i="95"/>
  <c r="J27" i="95"/>
  <c r="J26" i="95"/>
  <c r="J25" i="95"/>
  <c r="J24" i="95"/>
  <c r="J23" i="95"/>
  <c r="J22" i="95"/>
  <c r="J21" i="95"/>
  <c r="J20" i="95"/>
  <c r="J19" i="95"/>
  <c r="J18" i="95"/>
  <c r="J17" i="95"/>
  <c r="J16" i="95"/>
  <c r="J15" i="95"/>
  <c r="J14" i="95"/>
  <c r="J13" i="95"/>
  <c r="J12" i="95"/>
  <c r="J11" i="95"/>
  <c r="I34" i="94"/>
  <c r="H34" i="94"/>
  <c r="G34" i="94"/>
  <c r="F34" i="94"/>
  <c r="E34" i="94"/>
  <c r="J33" i="94"/>
  <c r="J32" i="94"/>
  <c r="J31" i="94"/>
  <c r="J30" i="94"/>
  <c r="J29" i="94"/>
  <c r="J28" i="94"/>
  <c r="J27" i="94"/>
  <c r="J26" i="94"/>
  <c r="J25" i="94"/>
  <c r="J24" i="94"/>
  <c r="J23" i="94"/>
  <c r="J22" i="94"/>
  <c r="J21" i="94"/>
  <c r="J20" i="94"/>
  <c r="J19" i="94"/>
  <c r="J18" i="94"/>
  <c r="J17" i="94"/>
  <c r="J16" i="94"/>
  <c r="J15" i="94"/>
  <c r="J14" i="94"/>
  <c r="J13" i="94"/>
  <c r="J12" i="94"/>
  <c r="J11" i="94"/>
  <c r="I34" i="93"/>
  <c r="H34" i="93"/>
  <c r="G34" i="93"/>
  <c r="F34" i="93"/>
  <c r="E34" i="93"/>
  <c r="J33" i="93"/>
  <c r="J32" i="93"/>
  <c r="J31" i="93"/>
  <c r="J30" i="93"/>
  <c r="J29" i="93"/>
  <c r="J28" i="93"/>
  <c r="J27" i="93"/>
  <c r="J26" i="93"/>
  <c r="J25" i="93"/>
  <c r="J24" i="93"/>
  <c r="J23" i="93"/>
  <c r="J22" i="93"/>
  <c r="J21" i="93"/>
  <c r="J20" i="93"/>
  <c r="J19" i="93"/>
  <c r="J18" i="93"/>
  <c r="J17" i="93"/>
  <c r="J16" i="93"/>
  <c r="J15" i="93"/>
  <c r="J14" i="93"/>
  <c r="J13" i="93"/>
  <c r="J12" i="93"/>
  <c r="J11" i="93"/>
  <c r="I34" i="92"/>
  <c r="H34" i="92"/>
  <c r="G34" i="92"/>
  <c r="F34" i="92"/>
  <c r="E34" i="92"/>
  <c r="J33" i="92"/>
  <c r="J32" i="92"/>
  <c r="J31" i="92"/>
  <c r="J30" i="92"/>
  <c r="J29" i="92"/>
  <c r="J28" i="92"/>
  <c r="J27" i="92"/>
  <c r="J26" i="92"/>
  <c r="J25" i="92"/>
  <c r="J24" i="92"/>
  <c r="J23" i="92"/>
  <c r="J22" i="92"/>
  <c r="J21" i="92"/>
  <c r="J20" i="92"/>
  <c r="J19" i="92"/>
  <c r="J18" i="92"/>
  <c r="J17" i="92"/>
  <c r="J16" i="92"/>
  <c r="J15" i="92"/>
  <c r="J14" i="92"/>
  <c r="J13" i="92"/>
  <c r="J12" i="92"/>
  <c r="J11" i="92"/>
  <c r="M41" i="92" s="1"/>
  <c r="I34" i="91"/>
  <c r="H34" i="91"/>
  <c r="G34" i="91"/>
  <c r="F34" i="91"/>
  <c r="E34" i="91"/>
  <c r="J33" i="91"/>
  <c r="J32" i="91"/>
  <c r="J31" i="91"/>
  <c r="J30" i="91"/>
  <c r="J29" i="91"/>
  <c r="J28" i="91"/>
  <c r="J27" i="91"/>
  <c r="J26" i="91"/>
  <c r="J25" i="91"/>
  <c r="J24" i="91"/>
  <c r="J23" i="91"/>
  <c r="J22" i="91"/>
  <c r="J21" i="91"/>
  <c r="J20" i="91"/>
  <c r="J19" i="91"/>
  <c r="J18" i="91"/>
  <c r="J17" i="91"/>
  <c r="J16" i="91"/>
  <c r="J15" i="91"/>
  <c r="J14" i="91"/>
  <c r="J13" i="91"/>
  <c r="J12" i="91"/>
  <c r="J11" i="91"/>
  <c r="I34" i="90"/>
  <c r="H34" i="90"/>
  <c r="G34" i="90"/>
  <c r="F34" i="90"/>
  <c r="E34" i="90"/>
  <c r="J33" i="90"/>
  <c r="J32" i="90"/>
  <c r="J31" i="90"/>
  <c r="J30" i="90"/>
  <c r="J29" i="90"/>
  <c r="J28" i="90"/>
  <c r="J27" i="90"/>
  <c r="J26" i="90"/>
  <c r="J25" i="90"/>
  <c r="J24" i="90"/>
  <c r="J23" i="90"/>
  <c r="J22" i="90"/>
  <c r="J21" i="90"/>
  <c r="J20" i="90"/>
  <c r="J19" i="90"/>
  <c r="J18" i="90"/>
  <c r="J17" i="90"/>
  <c r="J16" i="90"/>
  <c r="J15" i="90"/>
  <c r="J14" i="90"/>
  <c r="J13" i="90"/>
  <c r="J12" i="90"/>
  <c r="J11" i="90"/>
  <c r="I34" i="89"/>
  <c r="H34" i="89"/>
  <c r="G34" i="89"/>
  <c r="F34" i="89"/>
  <c r="E34" i="89"/>
  <c r="J33" i="89"/>
  <c r="J32" i="89"/>
  <c r="J31" i="89"/>
  <c r="J30" i="89"/>
  <c r="J29" i="89"/>
  <c r="J28" i="89"/>
  <c r="J27" i="89"/>
  <c r="J26" i="89"/>
  <c r="J25" i="89"/>
  <c r="J24" i="89"/>
  <c r="J23" i="89"/>
  <c r="J22" i="89"/>
  <c r="J21" i="89"/>
  <c r="J20" i="89"/>
  <c r="J19" i="89"/>
  <c r="J18" i="89"/>
  <c r="J17" i="89"/>
  <c r="J16" i="89"/>
  <c r="J15" i="89"/>
  <c r="J14" i="89"/>
  <c r="J13" i="89"/>
  <c r="J12" i="89"/>
  <c r="J11" i="89"/>
  <c r="I34" i="88"/>
  <c r="H34" i="88"/>
  <c r="G34" i="88"/>
  <c r="F34" i="88"/>
  <c r="E34" i="88"/>
  <c r="J33" i="88"/>
  <c r="J32" i="88"/>
  <c r="J31" i="88"/>
  <c r="J30" i="88"/>
  <c r="J29" i="88"/>
  <c r="J28" i="88"/>
  <c r="J27" i="88"/>
  <c r="J26" i="88"/>
  <c r="J25" i="88"/>
  <c r="J24" i="88"/>
  <c r="J23" i="88"/>
  <c r="J22" i="88"/>
  <c r="J21" i="88"/>
  <c r="J20" i="88"/>
  <c r="J19" i="88"/>
  <c r="J18" i="88"/>
  <c r="J17" i="88"/>
  <c r="J16" i="88"/>
  <c r="J15" i="88"/>
  <c r="J14" i="88"/>
  <c r="J13" i="88"/>
  <c r="J12" i="88"/>
  <c r="J11" i="88"/>
  <c r="I34" i="87"/>
  <c r="H34" i="87"/>
  <c r="G34" i="87"/>
  <c r="F34" i="87"/>
  <c r="E34" i="87"/>
  <c r="J33" i="87"/>
  <c r="J32" i="87"/>
  <c r="J31" i="87"/>
  <c r="J30" i="87"/>
  <c r="J29" i="87"/>
  <c r="J28" i="87"/>
  <c r="J27" i="87"/>
  <c r="J26" i="87"/>
  <c r="J25" i="87"/>
  <c r="J24" i="87"/>
  <c r="J23" i="87"/>
  <c r="J22" i="87"/>
  <c r="J21" i="87"/>
  <c r="J20" i="87"/>
  <c r="J19" i="87"/>
  <c r="J18" i="87"/>
  <c r="J17" i="87"/>
  <c r="J16" i="87"/>
  <c r="J15" i="87"/>
  <c r="J14" i="87"/>
  <c r="J13" i="87"/>
  <c r="J12" i="87"/>
  <c r="J11" i="87"/>
  <c r="I34" i="86"/>
  <c r="H34" i="86"/>
  <c r="G34" i="86"/>
  <c r="F34" i="86"/>
  <c r="E34" i="86"/>
  <c r="J33" i="86"/>
  <c r="J32" i="86"/>
  <c r="J31" i="86"/>
  <c r="J30" i="86"/>
  <c r="J29" i="86"/>
  <c r="J28" i="86"/>
  <c r="J27" i="86"/>
  <c r="J26" i="86"/>
  <c r="J25" i="86"/>
  <c r="J24" i="86"/>
  <c r="J23" i="86"/>
  <c r="J22" i="86"/>
  <c r="J21" i="86"/>
  <c r="J20" i="86"/>
  <c r="J19" i="86"/>
  <c r="J18" i="86"/>
  <c r="J17" i="86"/>
  <c r="J16" i="86"/>
  <c r="J15" i="86"/>
  <c r="J14" i="86"/>
  <c r="J13" i="86"/>
  <c r="J12" i="86"/>
  <c r="J11" i="86"/>
  <c r="I34" i="85"/>
  <c r="H34" i="85"/>
  <c r="G34" i="85"/>
  <c r="F34" i="85"/>
  <c r="E34" i="85"/>
  <c r="J33" i="85"/>
  <c r="J32" i="85"/>
  <c r="J31" i="85"/>
  <c r="J30" i="85"/>
  <c r="J29" i="85"/>
  <c r="J28" i="85"/>
  <c r="J27" i="85"/>
  <c r="J26" i="85"/>
  <c r="J25" i="85"/>
  <c r="J24" i="85"/>
  <c r="J23" i="85"/>
  <c r="J22" i="85"/>
  <c r="J21" i="85"/>
  <c r="J20" i="85"/>
  <c r="J19" i="85"/>
  <c r="J18" i="85"/>
  <c r="J17" i="85"/>
  <c r="J16" i="85"/>
  <c r="J15" i="85"/>
  <c r="J14" i="85"/>
  <c r="J13" i="85"/>
  <c r="J12" i="85"/>
  <c r="J11" i="85"/>
  <c r="I34" i="84"/>
  <c r="H34" i="84"/>
  <c r="G34" i="84"/>
  <c r="F34" i="84"/>
  <c r="E34" i="84"/>
  <c r="J33" i="84"/>
  <c r="J32" i="84"/>
  <c r="J31" i="84"/>
  <c r="J30" i="84"/>
  <c r="J29" i="84"/>
  <c r="J28" i="84"/>
  <c r="J27" i="84"/>
  <c r="J26" i="84"/>
  <c r="J25" i="84"/>
  <c r="J24" i="84"/>
  <c r="J23" i="84"/>
  <c r="J22" i="84"/>
  <c r="J21" i="84"/>
  <c r="J20" i="84"/>
  <c r="J19" i="84"/>
  <c r="J18" i="84"/>
  <c r="J17" i="84"/>
  <c r="J16" i="84"/>
  <c r="J15" i="84"/>
  <c r="J14" i="84"/>
  <c r="J13" i="84"/>
  <c r="J12" i="84"/>
  <c r="J11" i="84"/>
  <c r="I34" i="83"/>
  <c r="H34" i="83"/>
  <c r="G34" i="83"/>
  <c r="F34" i="83"/>
  <c r="E34" i="83"/>
  <c r="J33" i="83"/>
  <c r="J32" i="83"/>
  <c r="J31" i="83"/>
  <c r="J30" i="83"/>
  <c r="J29" i="83"/>
  <c r="J28" i="83"/>
  <c r="J27" i="83"/>
  <c r="J26" i="83"/>
  <c r="J25" i="83"/>
  <c r="J24" i="83"/>
  <c r="J23" i="83"/>
  <c r="J22" i="83"/>
  <c r="J21" i="83"/>
  <c r="J20" i="83"/>
  <c r="J19" i="83"/>
  <c r="J18" i="83"/>
  <c r="J17" i="83"/>
  <c r="J16" i="83"/>
  <c r="J15" i="83"/>
  <c r="J14" i="83"/>
  <c r="J13" i="83"/>
  <c r="J12" i="83"/>
  <c r="J11" i="83"/>
  <c r="I34" i="82"/>
  <c r="H34" i="82"/>
  <c r="G34" i="82"/>
  <c r="F34" i="82"/>
  <c r="E34" i="82"/>
  <c r="J33" i="82"/>
  <c r="J32" i="82"/>
  <c r="J31" i="82"/>
  <c r="J30" i="82"/>
  <c r="J29" i="82"/>
  <c r="J28" i="82"/>
  <c r="J27" i="82"/>
  <c r="J26" i="82"/>
  <c r="J25" i="82"/>
  <c r="J24" i="82"/>
  <c r="J23" i="82"/>
  <c r="J22" i="82"/>
  <c r="J21" i="82"/>
  <c r="J20" i="82"/>
  <c r="J19" i="82"/>
  <c r="J18" i="82"/>
  <c r="J17" i="82"/>
  <c r="J16" i="82"/>
  <c r="J15" i="82"/>
  <c r="J14" i="82"/>
  <c r="J13" i="82"/>
  <c r="J12" i="82"/>
  <c r="J11" i="82"/>
  <c r="I34" i="81"/>
  <c r="H34" i="81"/>
  <c r="G34" i="81"/>
  <c r="F34" i="81"/>
  <c r="E34" i="81"/>
  <c r="J33" i="81"/>
  <c r="J32" i="81"/>
  <c r="J31" i="81"/>
  <c r="J30" i="81"/>
  <c r="J29" i="81"/>
  <c r="J28" i="81"/>
  <c r="J27" i="81"/>
  <c r="J26" i="81"/>
  <c r="J25" i="81"/>
  <c r="J24" i="81"/>
  <c r="J23" i="81"/>
  <c r="J22" i="81"/>
  <c r="J21" i="81"/>
  <c r="J20" i="81"/>
  <c r="J19" i="81"/>
  <c r="J18" i="81"/>
  <c r="J17" i="81"/>
  <c r="J16" i="81"/>
  <c r="J15" i="81"/>
  <c r="J14" i="81"/>
  <c r="J13" i="81"/>
  <c r="J12" i="81"/>
  <c r="J11" i="81"/>
  <c r="I34" i="80"/>
  <c r="H34" i="80"/>
  <c r="G34" i="80"/>
  <c r="F34" i="80"/>
  <c r="E34" i="80"/>
  <c r="J33" i="80"/>
  <c r="J32" i="80"/>
  <c r="J31" i="80"/>
  <c r="J30" i="80"/>
  <c r="J29" i="80"/>
  <c r="J28" i="80"/>
  <c r="J27" i="80"/>
  <c r="J26" i="80"/>
  <c r="J25" i="80"/>
  <c r="J24" i="80"/>
  <c r="J23" i="80"/>
  <c r="J22" i="80"/>
  <c r="J21" i="80"/>
  <c r="J20" i="80"/>
  <c r="J19" i="80"/>
  <c r="J18" i="80"/>
  <c r="J17" i="80"/>
  <c r="J16" i="80"/>
  <c r="J15" i="80"/>
  <c r="J14" i="80"/>
  <c r="J13" i="80"/>
  <c r="J12" i="80"/>
  <c r="J11" i="80"/>
  <c r="I34" i="79"/>
  <c r="H34" i="79"/>
  <c r="G34" i="79"/>
  <c r="F34" i="79"/>
  <c r="E34" i="79"/>
  <c r="J33" i="79"/>
  <c r="J32" i="79"/>
  <c r="J31" i="79"/>
  <c r="J30" i="79"/>
  <c r="J29" i="79"/>
  <c r="J28" i="79"/>
  <c r="J27" i="79"/>
  <c r="J26" i="79"/>
  <c r="J25" i="79"/>
  <c r="J24" i="79"/>
  <c r="J23" i="79"/>
  <c r="J22" i="79"/>
  <c r="J21" i="79"/>
  <c r="J20" i="79"/>
  <c r="J19" i="79"/>
  <c r="J18" i="79"/>
  <c r="J17" i="79"/>
  <c r="J16" i="79"/>
  <c r="J15" i="79"/>
  <c r="J14" i="79"/>
  <c r="J13" i="79"/>
  <c r="J12" i="79"/>
  <c r="J11" i="79"/>
  <c r="I34" i="78"/>
  <c r="H34" i="78"/>
  <c r="G34" i="78"/>
  <c r="F34" i="78"/>
  <c r="E34" i="78"/>
  <c r="J33" i="78"/>
  <c r="J32" i="78"/>
  <c r="J31" i="78"/>
  <c r="J30" i="78"/>
  <c r="J29" i="78"/>
  <c r="J28" i="78"/>
  <c r="J27" i="78"/>
  <c r="J26" i="78"/>
  <c r="J25" i="78"/>
  <c r="J24" i="78"/>
  <c r="J23" i="78"/>
  <c r="J22" i="78"/>
  <c r="J21" i="78"/>
  <c r="J20" i="78"/>
  <c r="J19" i="78"/>
  <c r="J18" i="78"/>
  <c r="J17" i="78"/>
  <c r="J16" i="78"/>
  <c r="J15" i="78"/>
  <c r="J14" i="78"/>
  <c r="J13" i="78"/>
  <c r="J12" i="78"/>
  <c r="J11" i="78"/>
  <c r="I34" i="77"/>
  <c r="H34" i="77"/>
  <c r="G34" i="77"/>
  <c r="F34" i="77"/>
  <c r="E34" i="77"/>
  <c r="J33" i="77"/>
  <c r="J32" i="77"/>
  <c r="J31" i="77"/>
  <c r="J30" i="77"/>
  <c r="J29" i="77"/>
  <c r="J28" i="77"/>
  <c r="J27" i="77"/>
  <c r="J26" i="77"/>
  <c r="J25" i="77"/>
  <c r="J24" i="77"/>
  <c r="J23" i="77"/>
  <c r="J22" i="77"/>
  <c r="J21" i="77"/>
  <c r="J20" i="77"/>
  <c r="J19" i="77"/>
  <c r="J18" i="77"/>
  <c r="J17" i="77"/>
  <c r="J16" i="77"/>
  <c r="J15" i="77"/>
  <c r="J14" i="77"/>
  <c r="J13" i="77"/>
  <c r="J12" i="77"/>
  <c r="J11" i="77"/>
  <c r="I34" i="76"/>
  <c r="H34" i="76"/>
  <c r="G34" i="76"/>
  <c r="F34" i="76"/>
  <c r="E34" i="76"/>
  <c r="J33" i="76"/>
  <c r="J32" i="76"/>
  <c r="J31" i="76"/>
  <c r="J30" i="76"/>
  <c r="J29" i="76"/>
  <c r="J28" i="76"/>
  <c r="J27" i="76"/>
  <c r="J26" i="76"/>
  <c r="J25" i="76"/>
  <c r="J24" i="76"/>
  <c r="J23" i="76"/>
  <c r="J22" i="76"/>
  <c r="J21" i="76"/>
  <c r="J20" i="76"/>
  <c r="J19" i="76"/>
  <c r="J18" i="76"/>
  <c r="J17" i="76"/>
  <c r="J16" i="76"/>
  <c r="J15" i="76"/>
  <c r="J14" i="76"/>
  <c r="J13" i="76"/>
  <c r="J12" i="76"/>
  <c r="J11" i="76"/>
  <c r="I34" i="75"/>
  <c r="H34" i="75"/>
  <c r="G34" i="75"/>
  <c r="F34" i="75"/>
  <c r="E34" i="75"/>
  <c r="J33" i="75"/>
  <c r="J32" i="75"/>
  <c r="J31" i="75"/>
  <c r="J30" i="75"/>
  <c r="J29" i="75"/>
  <c r="J28" i="75"/>
  <c r="J27" i="75"/>
  <c r="J26" i="75"/>
  <c r="J25" i="75"/>
  <c r="J24" i="75"/>
  <c r="J23" i="75"/>
  <c r="J22" i="75"/>
  <c r="J21" i="75"/>
  <c r="J20" i="75"/>
  <c r="J19" i="75"/>
  <c r="J18" i="75"/>
  <c r="J17" i="75"/>
  <c r="J16" i="75"/>
  <c r="J15" i="75"/>
  <c r="J14" i="75"/>
  <c r="J13" i="75"/>
  <c r="J12" i="75"/>
  <c r="J11" i="75"/>
  <c r="I34" i="74"/>
  <c r="H34" i="74"/>
  <c r="G34" i="74"/>
  <c r="F34" i="74"/>
  <c r="E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J20" i="74"/>
  <c r="J19" i="74"/>
  <c r="J18" i="74"/>
  <c r="J17" i="74"/>
  <c r="J16" i="74"/>
  <c r="J15" i="74"/>
  <c r="J14" i="74"/>
  <c r="J13" i="74"/>
  <c r="J12" i="74"/>
  <c r="J11" i="74"/>
  <c r="I34" i="73"/>
  <c r="H34" i="73"/>
  <c r="G34" i="73"/>
  <c r="F34" i="73"/>
  <c r="E34" i="73"/>
  <c r="J33" i="73"/>
  <c r="J32" i="73"/>
  <c r="J31" i="73"/>
  <c r="J30" i="73"/>
  <c r="J29" i="73"/>
  <c r="J28" i="73"/>
  <c r="J27" i="73"/>
  <c r="J26" i="73"/>
  <c r="J25" i="73"/>
  <c r="J24" i="73"/>
  <c r="J23" i="73"/>
  <c r="J22" i="73"/>
  <c r="J21" i="73"/>
  <c r="J20" i="73"/>
  <c r="J19" i="73"/>
  <c r="J18" i="73"/>
  <c r="J17" i="73"/>
  <c r="J16" i="73"/>
  <c r="J15" i="73"/>
  <c r="J14" i="73"/>
  <c r="J13" i="73"/>
  <c r="J12" i="73"/>
  <c r="J11" i="73"/>
  <c r="I34" i="72"/>
  <c r="H34" i="72"/>
  <c r="G34" i="72"/>
  <c r="F34" i="72"/>
  <c r="E34" i="72"/>
  <c r="J33" i="72"/>
  <c r="J32" i="72"/>
  <c r="J31" i="72"/>
  <c r="J30" i="72"/>
  <c r="J29" i="72"/>
  <c r="J28" i="72"/>
  <c r="J27" i="72"/>
  <c r="J26" i="72"/>
  <c r="J25" i="72"/>
  <c r="J24" i="72"/>
  <c r="J23" i="72"/>
  <c r="J22" i="72"/>
  <c r="J21" i="72"/>
  <c r="J20" i="72"/>
  <c r="J19" i="72"/>
  <c r="J18" i="72"/>
  <c r="J17" i="72"/>
  <c r="J16" i="72"/>
  <c r="J15" i="72"/>
  <c r="J14" i="72"/>
  <c r="J13" i="72"/>
  <c r="J12" i="72"/>
  <c r="J11" i="72"/>
  <c r="I34" i="71"/>
  <c r="H34" i="71"/>
  <c r="G34" i="71"/>
  <c r="F34" i="71"/>
  <c r="E34" i="71"/>
  <c r="J33" i="71"/>
  <c r="J32" i="71"/>
  <c r="J31" i="71"/>
  <c r="J30" i="71"/>
  <c r="J29" i="71"/>
  <c r="J28" i="71"/>
  <c r="J27" i="71"/>
  <c r="J26" i="71"/>
  <c r="J25" i="71"/>
  <c r="J24" i="71"/>
  <c r="J23" i="71"/>
  <c r="J22" i="71"/>
  <c r="J21" i="71"/>
  <c r="J20" i="71"/>
  <c r="J19" i="71"/>
  <c r="J18" i="71"/>
  <c r="J17" i="71"/>
  <c r="J16" i="71"/>
  <c r="J15" i="71"/>
  <c r="J14" i="71"/>
  <c r="J13" i="71"/>
  <c r="J12" i="71"/>
  <c r="J11" i="71"/>
  <c r="I34" i="70"/>
  <c r="H34" i="70"/>
  <c r="G34" i="70"/>
  <c r="F34" i="70"/>
  <c r="E34" i="70"/>
  <c r="J33" i="70"/>
  <c r="J32" i="70"/>
  <c r="J31" i="70"/>
  <c r="J30" i="70"/>
  <c r="J29" i="70"/>
  <c r="J28" i="70"/>
  <c r="J27" i="70"/>
  <c r="J26" i="70"/>
  <c r="J25" i="70"/>
  <c r="J24" i="70"/>
  <c r="J23" i="70"/>
  <c r="J22" i="70"/>
  <c r="J21" i="70"/>
  <c r="J20" i="70"/>
  <c r="J19" i="70"/>
  <c r="J18" i="70"/>
  <c r="J17" i="70"/>
  <c r="J16" i="70"/>
  <c r="J15" i="70"/>
  <c r="J14" i="70"/>
  <c r="J13" i="70"/>
  <c r="J12" i="70"/>
  <c r="J11" i="70"/>
  <c r="I34" i="69"/>
  <c r="H34" i="69"/>
  <c r="G34" i="69"/>
  <c r="F34" i="69"/>
  <c r="E34" i="69"/>
  <c r="J33" i="69"/>
  <c r="J32" i="69"/>
  <c r="J31" i="69"/>
  <c r="J30" i="69"/>
  <c r="J29" i="69"/>
  <c r="J28" i="69"/>
  <c r="J27" i="69"/>
  <c r="J26" i="69"/>
  <c r="J25" i="69"/>
  <c r="J24" i="69"/>
  <c r="J23" i="69"/>
  <c r="J22" i="69"/>
  <c r="J21" i="69"/>
  <c r="J20" i="69"/>
  <c r="J19" i="69"/>
  <c r="J18" i="69"/>
  <c r="J17" i="69"/>
  <c r="J16" i="69"/>
  <c r="J15" i="69"/>
  <c r="J14" i="69"/>
  <c r="J13" i="69"/>
  <c r="J12" i="69"/>
  <c r="J11" i="69"/>
  <c r="I34" i="68"/>
  <c r="H34" i="68"/>
  <c r="G34" i="68"/>
  <c r="F34" i="68"/>
  <c r="E34" i="68"/>
  <c r="J33" i="68"/>
  <c r="J32" i="68"/>
  <c r="J31" i="68"/>
  <c r="J30" i="68"/>
  <c r="J29" i="68"/>
  <c r="J28" i="68"/>
  <c r="J27" i="68"/>
  <c r="J26" i="68"/>
  <c r="J25" i="68"/>
  <c r="J24" i="68"/>
  <c r="J23" i="68"/>
  <c r="J22" i="68"/>
  <c r="J21" i="68"/>
  <c r="J20" i="68"/>
  <c r="J19" i="68"/>
  <c r="J18" i="68"/>
  <c r="J17" i="68"/>
  <c r="J16" i="68"/>
  <c r="J15" i="68"/>
  <c r="J14" i="68"/>
  <c r="J13" i="68"/>
  <c r="J12" i="68"/>
  <c r="J11" i="68"/>
  <c r="I34" i="67"/>
  <c r="H34" i="67"/>
  <c r="G34" i="67"/>
  <c r="F34" i="67"/>
  <c r="E34" i="67"/>
  <c r="J33" i="67"/>
  <c r="J32" i="67"/>
  <c r="J31" i="67"/>
  <c r="J30" i="67"/>
  <c r="J29" i="67"/>
  <c r="J28" i="67"/>
  <c r="J27" i="67"/>
  <c r="J26" i="67"/>
  <c r="J25" i="67"/>
  <c r="J24" i="67"/>
  <c r="J23" i="67"/>
  <c r="J22" i="67"/>
  <c r="J21" i="67"/>
  <c r="J20" i="67"/>
  <c r="J19" i="67"/>
  <c r="J18" i="67"/>
  <c r="J17" i="67"/>
  <c r="J16" i="67"/>
  <c r="J15" i="67"/>
  <c r="J14" i="67"/>
  <c r="J13" i="67"/>
  <c r="J12" i="67"/>
  <c r="J11" i="67"/>
  <c r="I34" i="66"/>
  <c r="H34" i="66"/>
  <c r="G34" i="66"/>
  <c r="F34" i="66"/>
  <c r="E34" i="66"/>
  <c r="J33" i="66"/>
  <c r="J32" i="66"/>
  <c r="J31" i="66"/>
  <c r="J30" i="66"/>
  <c r="J29" i="66"/>
  <c r="J28" i="66"/>
  <c r="J27" i="66"/>
  <c r="J26" i="66"/>
  <c r="J25" i="66"/>
  <c r="J24" i="66"/>
  <c r="J23" i="66"/>
  <c r="J22" i="66"/>
  <c r="J21" i="66"/>
  <c r="J20" i="66"/>
  <c r="J19" i="66"/>
  <c r="J18" i="66"/>
  <c r="J17" i="66"/>
  <c r="J16" i="66"/>
  <c r="J15" i="66"/>
  <c r="J14" i="66"/>
  <c r="J13" i="66"/>
  <c r="J12" i="66"/>
  <c r="J11" i="66"/>
  <c r="I34" i="65"/>
  <c r="H34" i="65"/>
  <c r="G34" i="65"/>
  <c r="F34" i="65"/>
  <c r="E34" i="65"/>
  <c r="J33" i="65"/>
  <c r="J32" i="65"/>
  <c r="J31" i="65"/>
  <c r="J30" i="65"/>
  <c r="J29" i="65"/>
  <c r="J28" i="65"/>
  <c r="J27" i="65"/>
  <c r="J26" i="65"/>
  <c r="J25" i="65"/>
  <c r="J24" i="65"/>
  <c r="J23" i="65"/>
  <c r="J22" i="65"/>
  <c r="J21" i="65"/>
  <c r="J20" i="65"/>
  <c r="J19" i="65"/>
  <c r="J18" i="65"/>
  <c r="J17" i="65"/>
  <c r="J16" i="65"/>
  <c r="J15" i="65"/>
  <c r="J14" i="65"/>
  <c r="J13" i="65"/>
  <c r="J12" i="65"/>
  <c r="J11" i="65"/>
  <c r="I34" i="64"/>
  <c r="H34" i="64"/>
  <c r="G34" i="64"/>
  <c r="F34" i="64"/>
  <c r="E34" i="64"/>
  <c r="J33" i="64"/>
  <c r="J32" i="64"/>
  <c r="J31" i="64"/>
  <c r="J30" i="64"/>
  <c r="J29" i="64"/>
  <c r="J28" i="64"/>
  <c r="J27" i="64"/>
  <c r="J26" i="64"/>
  <c r="J25" i="64"/>
  <c r="J24" i="64"/>
  <c r="J23" i="64"/>
  <c r="J22" i="64"/>
  <c r="J21" i="64"/>
  <c r="J20" i="64"/>
  <c r="J19" i="64"/>
  <c r="J18" i="64"/>
  <c r="J17" i="64"/>
  <c r="J16" i="64"/>
  <c r="J15" i="64"/>
  <c r="J14" i="64"/>
  <c r="J13" i="64"/>
  <c r="J12" i="64"/>
  <c r="J11" i="64"/>
  <c r="I34" i="63"/>
  <c r="H34" i="63"/>
  <c r="G34" i="63"/>
  <c r="F34" i="63"/>
  <c r="E34" i="63"/>
  <c r="J33" i="63"/>
  <c r="J32" i="63"/>
  <c r="J31" i="63"/>
  <c r="J30" i="63"/>
  <c r="J29" i="63"/>
  <c r="J28" i="63"/>
  <c r="J27" i="63"/>
  <c r="J26" i="63"/>
  <c r="J25" i="63"/>
  <c r="J24" i="63"/>
  <c r="J23" i="63"/>
  <c r="J22" i="63"/>
  <c r="J21" i="63"/>
  <c r="J20" i="63"/>
  <c r="J19" i="63"/>
  <c r="J18" i="63"/>
  <c r="J17" i="63"/>
  <c r="J16" i="63"/>
  <c r="J15" i="63"/>
  <c r="J14" i="63"/>
  <c r="J13" i="63"/>
  <c r="J12" i="63"/>
  <c r="J11" i="63"/>
  <c r="I34" i="62"/>
  <c r="H34" i="62"/>
  <c r="G34" i="62"/>
  <c r="F34" i="62"/>
  <c r="E34" i="62"/>
  <c r="J33" i="62"/>
  <c r="J32" i="62"/>
  <c r="J31" i="62"/>
  <c r="J30" i="62"/>
  <c r="J29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5" i="62"/>
  <c r="J14" i="62"/>
  <c r="J13" i="62"/>
  <c r="J12" i="62"/>
  <c r="J11" i="62"/>
  <c r="I34" i="61"/>
  <c r="H34" i="61"/>
  <c r="G34" i="61"/>
  <c r="F34" i="61"/>
  <c r="E34" i="61"/>
  <c r="J33" i="61"/>
  <c r="J32" i="61"/>
  <c r="J31" i="61"/>
  <c r="J30" i="61"/>
  <c r="J29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5" i="61"/>
  <c r="J14" i="61"/>
  <c r="J13" i="61"/>
  <c r="J12" i="61"/>
  <c r="J11" i="61"/>
  <c r="I34" i="60"/>
  <c r="H34" i="60"/>
  <c r="G34" i="60"/>
  <c r="F34" i="60"/>
  <c r="E34" i="60"/>
  <c r="J33" i="60"/>
  <c r="J32" i="60"/>
  <c r="J31" i="60"/>
  <c r="J30" i="60"/>
  <c r="J29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5" i="60"/>
  <c r="J14" i="60"/>
  <c r="J13" i="60"/>
  <c r="J12" i="60"/>
  <c r="J11" i="60"/>
  <c r="I34" i="59"/>
  <c r="H34" i="59"/>
  <c r="G34" i="59"/>
  <c r="F34" i="59"/>
  <c r="E34" i="59"/>
  <c r="J33" i="59"/>
  <c r="J32" i="59"/>
  <c r="J31" i="59"/>
  <c r="J30" i="59"/>
  <c r="J29" i="59"/>
  <c r="J28" i="59"/>
  <c r="J27" i="59"/>
  <c r="J26" i="59"/>
  <c r="J25" i="59"/>
  <c r="J24" i="59"/>
  <c r="J23" i="59"/>
  <c r="J22" i="59"/>
  <c r="J21" i="59"/>
  <c r="J20" i="59"/>
  <c r="J19" i="59"/>
  <c r="J18" i="59"/>
  <c r="J17" i="59"/>
  <c r="J16" i="59"/>
  <c r="J15" i="59"/>
  <c r="J14" i="59"/>
  <c r="J13" i="59"/>
  <c r="J12" i="59"/>
  <c r="J11" i="59"/>
  <c r="I34" i="58"/>
  <c r="H34" i="58"/>
  <c r="G34" i="58"/>
  <c r="F34" i="58"/>
  <c r="E34" i="58"/>
  <c r="J33" i="58"/>
  <c r="J32" i="58"/>
  <c r="J31" i="58"/>
  <c r="J30" i="58"/>
  <c r="J29" i="58"/>
  <c r="J28" i="58"/>
  <c r="J27" i="58"/>
  <c r="J26" i="58"/>
  <c r="J25" i="58"/>
  <c r="J24" i="58"/>
  <c r="J23" i="58"/>
  <c r="J22" i="58"/>
  <c r="J21" i="58"/>
  <c r="J20" i="58"/>
  <c r="J19" i="58"/>
  <c r="J18" i="58"/>
  <c r="J17" i="58"/>
  <c r="J16" i="58"/>
  <c r="J15" i="58"/>
  <c r="J14" i="58"/>
  <c r="J13" i="58"/>
  <c r="J12" i="58"/>
  <c r="J11" i="58"/>
  <c r="I34" i="57"/>
  <c r="H34" i="57"/>
  <c r="G34" i="57"/>
  <c r="F34" i="57"/>
  <c r="E34" i="57"/>
  <c r="J33" i="57"/>
  <c r="J32" i="57"/>
  <c r="J31" i="57"/>
  <c r="J30" i="57"/>
  <c r="J29" i="57"/>
  <c r="J28" i="57"/>
  <c r="J27" i="57"/>
  <c r="J26" i="57"/>
  <c r="J25" i="57"/>
  <c r="J24" i="57"/>
  <c r="J23" i="57"/>
  <c r="J22" i="57"/>
  <c r="J21" i="57"/>
  <c r="J20" i="57"/>
  <c r="J19" i="57"/>
  <c r="J18" i="57"/>
  <c r="J17" i="57"/>
  <c r="J16" i="57"/>
  <c r="J15" i="57"/>
  <c r="J14" i="57"/>
  <c r="J13" i="57"/>
  <c r="J12" i="57"/>
  <c r="J11" i="57"/>
  <c r="I34" i="28"/>
  <c r="H34" i="28"/>
  <c r="G34" i="28"/>
  <c r="F34" i="28"/>
  <c r="E34" i="28"/>
  <c r="J33" i="28"/>
  <c r="J32" i="28"/>
  <c r="J31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I34" i="27"/>
  <c r="H34" i="27"/>
  <c r="G34" i="27"/>
  <c r="F34" i="27"/>
  <c r="E34" i="27"/>
  <c r="J33" i="27"/>
  <c r="J32" i="27"/>
  <c r="J31" i="27"/>
  <c r="J30" i="27"/>
  <c r="J29" i="27"/>
  <c r="J28" i="27"/>
  <c r="J27" i="27"/>
  <c r="J26" i="27"/>
  <c r="J25" i="27"/>
  <c r="J24" i="27"/>
  <c r="J23" i="27"/>
  <c r="J22" i="27"/>
  <c r="J21" i="27"/>
  <c r="J20" i="27"/>
  <c r="J19" i="27"/>
  <c r="J18" i="27"/>
  <c r="J17" i="27"/>
  <c r="J16" i="27"/>
  <c r="J15" i="27"/>
  <c r="J14" i="27"/>
  <c r="J13" i="27"/>
  <c r="J12" i="27"/>
  <c r="J11" i="27"/>
  <c r="I34" i="26"/>
  <c r="H34" i="26"/>
  <c r="G34" i="26"/>
  <c r="F34" i="26"/>
  <c r="E34" i="26"/>
  <c r="J33" i="26"/>
  <c r="J32" i="26"/>
  <c r="J31" i="26"/>
  <c r="J30" i="26"/>
  <c r="J29" i="26"/>
  <c r="J28" i="26"/>
  <c r="J27" i="26"/>
  <c r="J26" i="26"/>
  <c r="J25" i="26"/>
  <c r="J24" i="26"/>
  <c r="J23" i="26"/>
  <c r="J22" i="26"/>
  <c r="J21" i="26"/>
  <c r="J20" i="26"/>
  <c r="J19" i="26"/>
  <c r="J18" i="26"/>
  <c r="J17" i="26"/>
  <c r="J16" i="26"/>
  <c r="J15" i="26"/>
  <c r="J14" i="26"/>
  <c r="J13" i="26"/>
  <c r="J12" i="26"/>
  <c r="J11" i="26"/>
  <c r="I34" i="25"/>
  <c r="H34" i="25"/>
  <c r="G34" i="25"/>
  <c r="F34" i="25"/>
  <c r="E34" i="25"/>
  <c r="J33" i="25"/>
  <c r="J32" i="25"/>
  <c r="J31" i="25"/>
  <c r="J30" i="25"/>
  <c r="J29" i="25"/>
  <c r="J28" i="25"/>
  <c r="J27" i="25"/>
  <c r="J26" i="25"/>
  <c r="J25" i="25"/>
  <c r="J24" i="25"/>
  <c r="J23" i="25"/>
  <c r="J22" i="25"/>
  <c r="J21" i="25"/>
  <c r="J20" i="25"/>
  <c r="J19" i="25"/>
  <c r="J18" i="25"/>
  <c r="J17" i="25"/>
  <c r="J16" i="25"/>
  <c r="J15" i="25"/>
  <c r="J14" i="25"/>
  <c r="J13" i="25"/>
  <c r="J12" i="25"/>
  <c r="J11" i="25"/>
  <c r="I34" i="24"/>
  <c r="H34" i="24"/>
  <c r="G34" i="24"/>
  <c r="F34" i="24"/>
  <c r="E34" i="24"/>
  <c r="J33" i="24"/>
  <c r="J32" i="24"/>
  <c r="J31" i="24"/>
  <c r="J30" i="24"/>
  <c r="J29" i="24"/>
  <c r="J28" i="24"/>
  <c r="J27" i="24"/>
  <c r="J26" i="24"/>
  <c r="J25" i="24"/>
  <c r="J24" i="24"/>
  <c r="J23" i="24"/>
  <c r="J22" i="24"/>
  <c r="J21" i="24"/>
  <c r="J20" i="24"/>
  <c r="J19" i="24"/>
  <c r="J18" i="24"/>
  <c r="J17" i="24"/>
  <c r="J16" i="24"/>
  <c r="J15" i="24"/>
  <c r="J14" i="24"/>
  <c r="J13" i="24"/>
  <c r="J12" i="24"/>
  <c r="J11" i="24"/>
  <c r="I34" i="23"/>
  <c r="H34" i="23"/>
  <c r="G34" i="23"/>
  <c r="F34" i="23"/>
  <c r="E34" i="23"/>
  <c r="J33" i="23"/>
  <c r="J32" i="23"/>
  <c r="J31" i="23"/>
  <c r="J30" i="23"/>
  <c r="J29" i="23"/>
  <c r="J28" i="23"/>
  <c r="J27" i="23"/>
  <c r="J26" i="23"/>
  <c r="J25" i="23"/>
  <c r="J24" i="23"/>
  <c r="J23" i="23"/>
  <c r="J22" i="23"/>
  <c r="J21" i="23"/>
  <c r="J20" i="23"/>
  <c r="J19" i="23"/>
  <c r="J18" i="23"/>
  <c r="J17" i="23"/>
  <c r="J16" i="23"/>
  <c r="J15" i="23"/>
  <c r="J14" i="23"/>
  <c r="J13" i="23"/>
  <c r="J12" i="23"/>
  <c r="J11" i="23"/>
  <c r="I34" i="22"/>
  <c r="H34" i="22"/>
  <c r="G34" i="22"/>
  <c r="F34" i="22"/>
  <c r="E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J16" i="22"/>
  <c r="J15" i="22"/>
  <c r="J14" i="22"/>
  <c r="J13" i="22"/>
  <c r="J12" i="22"/>
  <c r="J11" i="22"/>
  <c r="I34" i="21"/>
  <c r="H34" i="21"/>
  <c r="G34" i="21"/>
  <c r="F34" i="21"/>
  <c r="E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I34" i="20"/>
  <c r="H34" i="20"/>
  <c r="G34" i="20"/>
  <c r="F34" i="20"/>
  <c r="E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I34" i="19"/>
  <c r="H34" i="19"/>
  <c r="G34" i="19"/>
  <c r="F34" i="19"/>
  <c r="E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I34" i="18"/>
  <c r="H34" i="18"/>
  <c r="G34" i="18"/>
  <c r="F34" i="18"/>
  <c r="E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M54" i="17"/>
  <c r="M54" i="18"/>
  <c r="M54" i="19"/>
  <c r="M54" i="20"/>
  <c r="M54" i="21"/>
  <c r="M54" i="22"/>
  <c r="M54" i="23"/>
  <c r="M54" i="24"/>
  <c r="M54" i="25"/>
  <c r="M54" i="26"/>
  <c r="M54" i="27"/>
  <c r="M54" i="28"/>
  <c r="M54" i="57"/>
  <c r="M54" i="58"/>
  <c r="M54" i="59"/>
  <c r="M54" i="60"/>
  <c r="M54" i="61"/>
  <c r="M54" i="62"/>
  <c r="M54" i="63"/>
  <c r="M54" i="64"/>
  <c r="M54" i="65"/>
  <c r="M54" i="66"/>
  <c r="M54" i="67"/>
  <c r="M54" i="68"/>
  <c r="M54" i="69"/>
  <c r="M54" i="70"/>
  <c r="M54" i="71"/>
  <c r="M54" i="72"/>
  <c r="M54" i="73"/>
  <c r="M54" i="74"/>
  <c r="M54" i="75"/>
  <c r="M54" i="76"/>
  <c r="M54" i="77"/>
  <c r="M54" i="78"/>
  <c r="M54" i="79"/>
  <c r="M54" i="80"/>
  <c r="M54" i="81"/>
  <c r="M54" i="82"/>
  <c r="M54" i="83"/>
  <c r="M54" i="84"/>
  <c r="M54" i="85"/>
  <c r="M54" i="86"/>
  <c r="M54" i="87"/>
  <c r="M54" i="88"/>
  <c r="M54" i="89"/>
  <c r="M54" i="90"/>
  <c r="M54" i="91"/>
  <c r="M54" i="92"/>
  <c r="M54" i="93"/>
  <c r="M54" i="94"/>
  <c r="M54" i="95"/>
  <c r="M44" i="17"/>
  <c r="M44" i="18"/>
  <c r="M44" i="19"/>
  <c r="M44" i="20"/>
  <c r="M44" i="21"/>
  <c r="M44" i="22"/>
  <c r="M44" i="23"/>
  <c r="M44" i="24"/>
  <c r="M44" i="25"/>
  <c r="M44" i="26"/>
  <c r="M44" i="27"/>
  <c r="M44" i="28"/>
  <c r="M44" i="57"/>
  <c r="M44" i="58"/>
  <c r="M44" i="59"/>
  <c r="M44" i="60"/>
  <c r="M44" i="61"/>
  <c r="M44" i="62"/>
  <c r="M44" i="63"/>
  <c r="M44" i="64"/>
  <c r="M44" i="65"/>
  <c r="M44" i="66"/>
  <c r="M44" i="67"/>
  <c r="M44" i="68"/>
  <c r="M44" i="69"/>
  <c r="M44" i="70"/>
  <c r="M44" i="71"/>
  <c r="M44" i="72"/>
  <c r="M44" i="73"/>
  <c r="M44" i="74"/>
  <c r="M44" i="75"/>
  <c r="M44" i="76"/>
  <c r="M44" i="77"/>
  <c r="M44" i="78"/>
  <c r="M44" i="79"/>
  <c r="M44" i="80"/>
  <c r="M44" i="81"/>
  <c r="M44" i="82"/>
  <c r="M44" i="83"/>
  <c r="M44" i="84"/>
  <c r="M44" i="85"/>
  <c r="M44" i="86"/>
  <c r="M44" i="87"/>
  <c r="M44" i="88"/>
  <c r="M44" i="89"/>
  <c r="M44" i="90"/>
  <c r="M44" i="91"/>
  <c r="M44" i="92"/>
  <c r="M44" i="93"/>
  <c r="M44" i="94"/>
  <c r="M44" i="95"/>
  <c r="M43" i="17"/>
  <c r="M43" i="18"/>
  <c r="M43" i="19"/>
  <c r="M43" i="20"/>
  <c r="M43" i="21"/>
  <c r="M43" i="22"/>
  <c r="M43" i="23"/>
  <c r="M43" i="24"/>
  <c r="M43" i="25"/>
  <c r="M43" i="26"/>
  <c r="M43" i="27"/>
  <c r="M43" i="28"/>
  <c r="M43" i="57"/>
  <c r="M43" i="58"/>
  <c r="M43" i="59"/>
  <c r="M43" i="60"/>
  <c r="M43" i="61"/>
  <c r="M43" i="62"/>
  <c r="M43" i="63"/>
  <c r="M43" i="64"/>
  <c r="M43" i="65"/>
  <c r="M43" i="66"/>
  <c r="M43" i="67"/>
  <c r="M43" i="68"/>
  <c r="M43" i="69"/>
  <c r="M43" i="70"/>
  <c r="M43" i="71"/>
  <c r="M43" i="72"/>
  <c r="M43" i="73"/>
  <c r="M43" i="74"/>
  <c r="M43" i="75"/>
  <c r="M43" i="76"/>
  <c r="M43" i="77"/>
  <c r="M43" i="78"/>
  <c r="M43" i="79"/>
  <c r="M43" i="80"/>
  <c r="M43" i="81"/>
  <c r="M43" i="82"/>
  <c r="M43" i="83"/>
  <c r="M43" i="84"/>
  <c r="M43" i="85"/>
  <c r="M43" i="86"/>
  <c r="M43" i="87"/>
  <c r="M43" i="88"/>
  <c r="M43" i="89"/>
  <c r="M43" i="90"/>
  <c r="M43" i="91"/>
  <c r="M43" i="92"/>
  <c r="M43" i="93"/>
  <c r="M43" i="94"/>
  <c r="M43" i="95"/>
  <c r="M36" i="17"/>
  <c r="M36" i="18"/>
  <c r="M36" i="19"/>
  <c r="M36" i="20"/>
  <c r="M36" i="21"/>
  <c r="M36" i="22"/>
  <c r="M36" i="23"/>
  <c r="M36" i="24"/>
  <c r="M36" i="25"/>
  <c r="M36" i="26"/>
  <c r="M36" i="27"/>
  <c r="M36" i="28"/>
  <c r="M36" i="57"/>
  <c r="M36" i="58"/>
  <c r="M36" i="59"/>
  <c r="M36" i="60"/>
  <c r="M36" i="61"/>
  <c r="M36" i="62"/>
  <c r="M36" i="63"/>
  <c r="M36" i="64"/>
  <c r="M36" i="65"/>
  <c r="M36" i="66"/>
  <c r="M36" i="67"/>
  <c r="M36" i="68"/>
  <c r="M36" i="69"/>
  <c r="M36" i="70"/>
  <c r="M36" i="71"/>
  <c r="M36" i="72"/>
  <c r="M36" i="73"/>
  <c r="M36" i="74"/>
  <c r="M36" i="75"/>
  <c r="M36" i="76"/>
  <c r="M36" i="77"/>
  <c r="M36" i="78"/>
  <c r="M36" i="79"/>
  <c r="M36" i="80"/>
  <c r="M36" i="81"/>
  <c r="M36" i="82"/>
  <c r="M36" i="83"/>
  <c r="M36" i="84"/>
  <c r="M36" i="85"/>
  <c r="M36" i="86"/>
  <c r="M36" i="87"/>
  <c r="M36" i="88"/>
  <c r="M36" i="89"/>
  <c r="M36" i="90"/>
  <c r="M36" i="91"/>
  <c r="M36" i="92"/>
  <c r="M36" i="93"/>
  <c r="M36" i="94"/>
  <c r="M36" i="95"/>
  <c r="J34" i="22" l="1"/>
  <c r="J34" i="24"/>
  <c r="J34" i="58"/>
  <c r="J34" i="60"/>
  <c r="J34" i="64"/>
  <c r="J34" i="72"/>
  <c r="J34" i="74"/>
  <c r="J34" i="76"/>
  <c r="J34" i="78"/>
  <c r="J34" i="95"/>
  <c r="J34" i="18"/>
  <c r="J34" i="20"/>
  <c r="J34" i="23"/>
  <c r="J34" i="26"/>
  <c r="J34" i="28"/>
  <c r="J34" i="62"/>
  <c r="J34" i="63"/>
  <c r="J34" i="65"/>
  <c r="J34" i="66"/>
  <c r="J34" i="68"/>
  <c r="J34" i="70"/>
  <c r="J34" i="80"/>
  <c r="J34" i="82"/>
  <c r="J34" i="84"/>
  <c r="J34" i="86"/>
  <c r="J34" i="88"/>
  <c r="J34" i="90"/>
  <c r="J34" i="92"/>
  <c r="J34" i="93"/>
  <c r="J34" i="94"/>
  <c r="J34" i="19"/>
  <c r="J34" i="21"/>
  <c r="J34" i="25"/>
  <c r="J34" i="27"/>
  <c r="J34" i="57"/>
  <c r="J34" i="59"/>
  <c r="J34" i="61"/>
  <c r="J34" i="67"/>
  <c r="J34" i="69"/>
  <c r="J34" i="71"/>
  <c r="J34" i="73"/>
  <c r="J34" i="75"/>
  <c r="J34" i="77"/>
  <c r="J34" i="79"/>
  <c r="J34" i="81"/>
  <c r="J34" i="83"/>
  <c r="J34" i="85"/>
  <c r="J34" i="87"/>
  <c r="J34" i="89"/>
  <c r="J34" i="91"/>
  <c r="M35" i="17"/>
  <c r="M34" i="17" l="1"/>
  <c r="M33" i="17"/>
  <c r="M32" i="17"/>
  <c r="M31" i="17"/>
  <c r="M30" i="17"/>
  <c r="M29" i="17"/>
  <c r="M28" i="17"/>
  <c r="M27" i="17"/>
  <c r="M26" i="17"/>
  <c r="M25" i="17"/>
  <c r="M24" i="17"/>
  <c r="M23" i="17"/>
  <c r="M22" i="17"/>
  <c r="M21" i="17"/>
  <c r="M20" i="17"/>
  <c r="M19" i="17"/>
  <c r="M17" i="17"/>
  <c r="M16" i="17"/>
  <c r="M15" i="17"/>
  <c r="M14" i="17"/>
  <c r="M13" i="17"/>
  <c r="M12" i="17"/>
  <c r="M11" i="17"/>
  <c r="M10" i="17"/>
  <c r="M9" i="17"/>
  <c r="I34" i="17"/>
  <c r="H34" i="17"/>
  <c r="G34" i="17"/>
  <c r="F34" i="17"/>
  <c r="E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35" i="19"/>
  <c r="M34" i="19"/>
  <c r="M33" i="19"/>
  <c r="M32" i="19"/>
  <c r="M31" i="19"/>
  <c r="M30" i="19"/>
  <c r="M29" i="19"/>
  <c r="M28" i="19"/>
  <c r="M27" i="19"/>
  <c r="M26" i="19"/>
  <c r="M25" i="19"/>
  <c r="M24" i="19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35" i="21"/>
  <c r="M34" i="21"/>
  <c r="M33" i="21"/>
  <c r="M32" i="21"/>
  <c r="M31" i="21"/>
  <c r="M30" i="21"/>
  <c r="M29" i="21"/>
  <c r="M28" i="21"/>
  <c r="M27" i="21"/>
  <c r="M26" i="21"/>
  <c r="M25" i="21"/>
  <c r="M24" i="21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35" i="22"/>
  <c r="M34" i="22"/>
  <c r="M33" i="22"/>
  <c r="M32" i="22"/>
  <c r="M31" i="22"/>
  <c r="M30" i="22"/>
  <c r="M29" i="22"/>
  <c r="M28" i="22"/>
  <c r="M27" i="22"/>
  <c r="M26" i="22"/>
  <c r="M25" i="22"/>
  <c r="M24" i="22"/>
  <c r="M23" i="22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35" i="23"/>
  <c r="M34" i="23"/>
  <c r="M33" i="23"/>
  <c r="M32" i="23"/>
  <c r="M31" i="23"/>
  <c r="M30" i="23"/>
  <c r="M29" i="23"/>
  <c r="M28" i="23"/>
  <c r="M27" i="23"/>
  <c r="M26" i="23"/>
  <c r="M25" i="23"/>
  <c r="M24" i="23"/>
  <c r="M23" i="23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35" i="24"/>
  <c r="M34" i="24"/>
  <c r="M33" i="24"/>
  <c r="M32" i="24"/>
  <c r="M31" i="24"/>
  <c r="M30" i="24"/>
  <c r="M29" i="24"/>
  <c r="M28" i="24"/>
  <c r="M27" i="24"/>
  <c r="M26" i="24"/>
  <c r="M25" i="24"/>
  <c r="M24" i="24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35" i="25"/>
  <c r="M34" i="25"/>
  <c r="M33" i="25"/>
  <c r="M32" i="25"/>
  <c r="M31" i="25"/>
  <c r="M30" i="25"/>
  <c r="M29" i="25"/>
  <c r="M28" i="25"/>
  <c r="M27" i="25"/>
  <c r="M26" i="25"/>
  <c r="M25" i="25"/>
  <c r="M24" i="25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35" i="26"/>
  <c r="M34" i="26"/>
  <c r="M33" i="26"/>
  <c r="M32" i="26"/>
  <c r="M31" i="26"/>
  <c r="M30" i="26"/>
  <c r="M29" i="26"/>
  <c r="M28" i="26"/>
  <c r="M27" i="26"/>
  <c r="M26" i="26"/>
  <c r="M25" i="26"/>
  <c r="M24" i="26"/>
  <c r="M23" i="26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35" i="27"/>
  <c r="M34" i="27"/>
  <c r="M33" i="27"/>
  <c r="M32" i="27"/>
  <c r="M31" i="27"/>
  <c r="M30" i="27"/>
  <c r="M29" i="27"/>
  <c r="M28" i="27"/>
  <c r="M27" i="27"/>
  <c r="M26" i="27"/>
  <c r="M25" i="27"/>
  <c r="M24" i="27"/>
  <c r="M23" i="27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35" i="28"/>
  <c r="M34" i="28"/>
  <c r="M33" i="28"/>
  <c r="M32" i="28"/>
  <c r="M31" i="28"/>
  <c r="M30" i="28"/>
  <c r="M29" i="28"/>
  <c r="M28" i="28"/>
  <c r="M27" i="28"/>
  <c r="M26" i="28"/>
  <c r="M25" i="28"/>
  <c r="M24" i="28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35" i="57"/>
  <c r="M34" i="57"/>
  <c r="M33" i="57"/>
  <c r="M32" i="57"/>
  <c r="M31" i="57"/>
  <c r="M30" i="57"/>
  <c r="M29" i="57"/>
  <c r="M28" i="57"/>
  <c r="M27" i="57"/>
  <c r="M26" i="57"/>
  <c r="M25" i="57"/>
  <c r="M24" i="57"/>
  <c r="M23" i="57"/>
  <c r="M22" i="57"/>
  <c r="M21" i="57"/>
  <c r="M20" i="57"/>
  <c r="M19" i="57"/>
  <c r="M18" i="57"/>
  <c r="M17" i="57"/>
  <c r="M16" i="57"/>
  <c r="M15" i="57"/>
  <c r="M14" i="57"/>
  <c r="M13" i="57"/>
  <c r="M12" i="57"/>
  <c r="M11" i="57"/>
  <c r="M10" i="57"/>
  <c r="M9" i="57"/>
  <c r="M35" i="58"/>
  <c r="M34" i="58"/>
  <c r="M33" i="58"/>
  <c r="M32" i="58"/>
  <c r="M31" i="58"/>
  <c r="M30" i="58"/>
  <c r="M29" i="58"/>
  <c r="M28" i="58"/>
  <c r="M27" i="58"/>
  <c r="M26" i="58"/>
  <c r="M25" i="58"/>
  <c r="M24" i="58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35" i="59"/>
  <c r="M34" i="59"/>
  <c r="M33" i="59"/>
  <c r="M32" i="59"/>
  <c r="M31" i="59"/>
  <c r="M30" i="59"/>
  <c r="M29" i="59"/>
  <c r="M28" i="59"/>
  <c r="M27" i="59"/>
  <c r="M26" i="59"/>
  <c r="M25" i="59"/>
  <c r="M24" i="59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35" i="60"/>
  <c r="M34" i="60"/>
  <c r="M33" i="60"/>
  <c r="M32" i="60"/>
  <c r="M31" i="60"/>
  <c r="M30" i="60"/>
  <c r="M29" i="60"/>
  <c r="M28" i="60"/>
  <c r="M27" i="60"/>
  <c r="M26" i="60"/>
  <c r="M25" i="60"/>
  <c r="M24" i="60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35" i="61"/>
  <c r="M34" i="61"/>
  <c r="M33" i="61"/>
  <c r="M32" i="61"/>
  <c r="M31" i="61"/>
  <c r="M30" i="61"/>
  <c r="M29" i="61"/>
  <c r="M28" i="61"/>
  <c r="M27" i="61"/>
  <c r="M26" i="61"/>
  <c r="M25" i="61"/>
  <c r="M24" i="61"/>
  <c r="M23" i="6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35" i="62"/>
  <c r="M34" i="62"/>
  <c r="M33" i="62"/>
  <c r="M32" i="62"/>
  <c r="M31" i="62"/>
  <c r="M30" i="62"/>
  <c r="M29" i="62"/>
  <c r="M28" i="62"/>
  <c r="M27" i="62"/>
  <c r="M26" i="62"/>
  <c r="M25" i="62"/>
  <c r="M24" i="62"/>
  <c r="M23" i="62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35" i="63"/>
  <c r="M34" i="63"/>
  <c r="M33" i="63"/>
  <c r="M32" i="63"/>
  <c r="M31" i="63"/>
  <c r="M30" i="63"/>
  <c r="M29" i="63"/>
  <c r="M28" i="63"/>
  <c r="M27" i="63"/>
  <c r="M26" i="63"/>
  <c r="M25" i="63"/>
  <c r="M24" i="63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35" i="64"/>
  <c r="M34" i="64"/>
  <c r="M33" i="64"/>
  <c r="M32" i="64"/>
  <c r="M31" i="64"/>
  <c r="M30" i="64"/>
  <c r="M29" i="64"/>
  <c r="M28" i="64"/>
  <c r="M27" i="64"/>
  <c r="M26" i="64"/>
  <c r="M25" i="64"/>
  <c r="M24" i="64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35" i="65"/>
  <c r="M34" i="65"/>
  <c r="M33" i="65"/>
  <c r="M32" i="65"/>
  <c r="M31" i="65"/>
  <c r="M30" i="65"/>
  <c r="M29" i="65"/>
  <c r="M28" i="65"/>
  <c r="M27" i="65"/>
  <c r="M26" i="65"/>
  <c r="M25" i="65"/>
  <c r="M24" i="65"/>
  <c r="M23" i="65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35" i="66"/>
  <c r="M34" i="66"/>
  <c r="M33" i="66"/>
  <c r="M32" i="66"/>
  <c r="M31" i="66"/>
  <c r="M30" i="66"/>
  <c r="M29" i="66"/>
  <c r="M28" i="66"/>
  <c r="M27" i="66"/>
  <c r="M26" i="66"/>
  <c r="M25" i="66"/>
  <c r="M24" i="66"/>
  <c r="M23" i="66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35" i="67"/>
  <c r="M34" i="67"/>
  <c r="M33" i="67"/>
  <c r="M32" i="67"/>
  <c r="M31" i="67"/>
  <c r="M30" i="67"/>
  <c r="M29" i="67"/>
  <c r="M28" i="67"/>
  <c r="M27" i="67"/>
  <c r="M26" i="67"/>
  <c r="M25" i="67"/>
  <c r="M24" i="67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35" i="68"/>
  <c r="M34" i="68"/>
  <c r="M33" i="68"/>
  <c r="M32" i="68"/>
  <c r="M31" i="68"/>
  <c r="M30" i="68"/>
  <c r="M29" i="68"/>
  <c r="M28" i="68"/>
  <c r="M27" i="68"/>
  <c r="M26" i="68"/>
  <c r="M25" i="68"/>
  <c r="M24" i="68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35" i="69"/>
  <c r="M34" i="69"/>
  <c r="M33" i="69"/>
  <c r="M32" i="69"/>
  <c r="M31" i="69"/>
  <c r="M30" i="69"/>
  <c r="M29" i="69"/>
  <c r="M28" i="69"/>
  <c r="M27" i="69"/>
  <c r="M26" i="69"/>
  <c r="M25" i="69"/>
  <c r="M24" i="69"/>
  <c r="M23" i="69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35" i="70"/>
  <c r="M34" i="70"/>
  <c r="M33" i="70"/>
  <c r="M32" i="70"/>
  <c r="M31" i="70"/>
  <c r="M30" i="70"/>
  <c r="M29" i="70"/>
  <c r="M28" i="70"/>
  <c r="M27" i="70"/>
  <c r="M26" i="70"/>
  <c r="M25" i="70"/>
  <c r="M24" i="70"/>
  <c r="M23" i="70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35" i="71"/>
  <c r="M34" i="71"/>
  <c r="M33" i="71"/>
  <c r="M32" i="71"/>
  <c r="M31" i="71"/>
  <c r="M30" i="71"/>
  <c r="M29" i="71"/>
  <c r="M28" i="71"/>
  <c r="M27" i="71"/>
  <c r="M26" i="71"/>
  <c r="M25" i="71"/>
  <c r="M24" i="71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35" i="72"/>
  <c r="M34" i="72"/>
  <c r="M33" i="72"/>
  <c r="M32" i="72"/>
  <c r="M31" i="72"/>
  <c r="M30" i="72"/>
  <c r="M29" i="72"/>
  <c r="M28" i="72"/>
  <c r="M27" i="72"/>
  <c r="M26" i="72"/>
  <c r="M25" i="72"/>
  <c r="M24" i="72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35" i="73"/>
  <c r="M34" i="73"/>
  <c r="M33" i="73"/>
  <c r="M32" i="73"/>
  <c r="M31" i="73"/>
  <c r="M30" i="73"/>
  <c r="M29" i="73"/>
  <c r="M28" i="73"/>
  <c r="M27" i="73"/>
  <c r="M26" i="73"/>
  <c r="M25" i="73"/>
  <c r="M24" i="73"/>
  <c r="M23" i="73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35" i="74"/>
  <c r="M34" i="74"/>
  <c r="M33" i="74"/>
  <c r="M32" i="74"/>
  <c r="M31" i="74"/>
  <c r="M30" i="74"/>
  <c r="M29" i="74"/>
  <c r="M28" i="74"/>
  <c r="M27" i="74"/>
  <c r="M26" i="74"/>
  <c r="M25" i="74"/>
  <c r="M24" i="74"/>
  <c r="M23" i="74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35" i="75"/>
  <c r="M34" i="75"/>
  <c r="M33" i="75"/>
  <c r="M32" i="75"/>
  <c r="M31" i="75"/>
  <c r="M30" i="75"/>
  <c r="M29" i="75"/>
  <c r="M28" i="75"/>
  <c r="M27" i="75"/>
  <c r="M26" i="75"/>
  <c r="M25" i="75"/>
  <c r="M24" i="75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35" i="76"/>
  <c r="M34" i="76"/>
  <c r="M33" i="76"/>
  <c r="M32" i="76"/>
  <c r="M31" i="76"/>
  <c r="M30" i="76"/>
  <c r="M29" i="76"/>
  <c r="M28" i="76"/>
  <c r="M27" i="76"/>
  <c r="M26" i="76"/>
  <c r="M25" i="76"/>
  <c r="M24" i="76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35" i="77"/>
  <c r="M34" i="77"/>
  <c r="M33" i="77"/>
  <c r="M32" i="77"/>
  <c r="M31" i="77"/>
  <c r="M30" i="77"/>
  <c r="M29" i="77"/>
  <c r="M28" i="77"/>
  <c r="M27" i="77"/>
  <c r="M26" i="77"/>
  <c r="M25" i="77"/>
  <c r="M24" i="77"/>
  <c r="M23" i="77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35" i="78"/>
  <c r="M34" i="78"/>
  <c r="M33" i="78"/>
  <c r="M32" i="78"/>
  <c r="M31" i="78"/>
  <c r="M30" i="78"/>
  <c r="M29" i="78"/>
  <c r="M28" i="78"/>
  <c r="M27" i="78"/>
  <c r="M26" i="78"/>
  <c r="M25" i="78"/>
  <c r="M24" i="78"/>
  <c r="M23" i="78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35" i="79"/>
  <c r="M34" i="79"/>
  <c r="M33" i="79"/>
  <c r="M32" i="79"/>
  <c r="M31" i="79"/>
  <c r="M30" i="79"/>
  <c r="M29" i="79"/>
  <c r="M28" i="79"/>
  <c r="M27" i="79"/>
  <c r="M26" i="79"/>
  <c r="M25" i="79"/>
  <c r="M24" i="79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35" i="80"/>
  <c r="M34" i="80"/>
  <c r="M33" i="80"/>
  <c r="M32" i="80"/>
  <c r="M31" i="80"/>
  <c r="M30" i="80"/>
  <c r="M29" i="80"/>
  <c r="M28" i="80"/>
  <c r="M27" i="80"/>
  <c r="M26" i="80"/>
  <c r="M25" i="80"/>
  <c r="M24" i="80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35" i="81"/>
  <c r="M34" i="81"/>
  <c r="M33" i="81"/>
  <c r="M32" i="81"/>
  <c r="M31" i="81"/>
  <c r="M30" i="81"/>
  <c r="M29" i="81"/>
  <c r="M28" i="81"/>
  <c r="M27" i="81"/>
  <c r="M26" i="81"/>
  <c r="M25" i="81"/>
  <c r="M24" i="81"/>
  <c r="M23" i="8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9" i="90"/>
  <c r="M10" i="90"/>
  <c r="M18" i="17" l="1"/>
  <c r="M46" i="17"/>
  <c r="J34" i="17"/>
</calcChain>
</file>

<file path=xl/sharedStrings.xml><?xml version="1.0" encoding="utf-8"?>
<sst xmlns="http://schemas.openxmlformats.org/spreadsheetml/2006/main" count="3216" uniqueCount="113">
  <si>
    <t>Nom:</t>
  </si>
  <si>
    <t>PROJET</t>
  </si>
  <si>
    <t>ENSEMBLE</t>
  </si>
  <si>
    <t>TACHES</t>
  </si>
  <si>
    <t xml:space="preserve">STRUCTURE </t>
  </si>
  <si>
    <t>LUNDI</t>
  </si>
  <si>
    <t>MARDI</t>
  </si>
  <si>
    <t>MERCREDI</t>
  </si>
  <si>
    <t xml:space="preserve">JEUDI </t>
  </si>
  <si>
    <t xml:space="preserve">VENDREDI </t>
  </si>
  <si>
    <t>TOTAL</t>
  </si>
  <si>
    <t>Date:</t>
  </si>
  <si>
    <t>CARLINGAGE</t>
  </si>
  <si>
    <t xml:space="preserve">FEUILLE DE POINTAGE </t>
  </si>
  <si>
    <t>GESTION PROJET</t>
  </si>
  <si>
    <t>REUNION</t>
  </si>
  <si>
    <t>S42 - Du 16 au 20 Octobre 2023</t>
  </si>
  <si>
    <t>S41 - Du 09 au 13 Octobre 2023</t>
  </si>
  <si>
    <t>S43 - Du 23 au 27 Octobre 2023</t>
  </si>
  <si>
    <t>S44 - Du 30 Octobre au 03 Novembre 2023</t>
  </si>
  <si>
    <t>S45 - Du 06 au 10 Novembre 2023</t>
  </si>
  <si>
    <t>S46 - Du 13 au 17 Novembre 2023</t>
  </si>
  <si>
    <t>S47 - Du 20 au 24 Novembre 2023</t>
  </si>
  <si>
    <t>S48 - Du 27 Novembre au 01 Décembre 2023</t>
  </si>
  <si>
    <t>S49 - Du 04 au 08 Décembre 2023</t>
  </si>
  <si>
    <t>S50 - Du 11 au 15 Décembre 2023</t>
  </si>
  <si>
    <t>S51 - Du 18 au 22 Décembre 2023</t>
  </si>
  <si>
    <t>S52 - Du 25 au 29 Décembre 2023</t>
  </si>
  <si>
    <t>S01 - Du 01 au 05 Janvier 2024</t>
  </si>
  <si>
    <t>S02 - Du 08 au 12 Janvier 2024</t>
  </si>
  <si>
    <t>S03 - Du 15 au 19 Janvier 2024</t>
  </si>
  <si>
    <t>S04 - Du 22 au 26 Janvier 2024</t>
  </si>
  <si>
    <t>S06 - Du 05 au 09 Février 2024</t>
  </si>
  <si>
    <t>S05 - Du 29 Janvier au 02 Février 2024</t>
  </si>
  <si>
    <t>S07 - Du 12 au 16 Février 2024</t>
  </si>
  <si>
    <t>S09 - Du 26 Février au 01 Mars 2024</t>
  </si>
  <si>
    <t>S08 - Du 19  au 23 Février 2024</t>
  </si>
  <si>
    <t>S10 - Du 04 au 08 Mars 2024</t>
  </si>
  <si>
    <t>S11 - Du 11 au 15 Mars 2024</t>
  </si>
  <si>
    <t>S12 - Du 18 au 22 Mars 2024</t>
  </si>
  <si>
    <t>S13 - Du 25 au 29 Mars 2024</t>
  </si>
  <si>
    <t>S14 - Du 01 au 05 Avril 2024</t>
  </si>
  <si>
    <t>S15 - Du 08 au 12 Avril 2024</t>
  </si>
  <si>
    <t>S16 - Du 15 au 19 Avril 2024</t>
  </si>
  <si>
    <t>S17 - Du 22 au 26 Avril 2024</t>
  </si>
  <si>
    <t>S18 - Du 29 Avril au 03 Mai 2024</t>
  </si>
  <si>
    <t>S19 - Du 06 au 10 Mai 2024</t>
  </si>
  <si>
    <t>S20 - Du 13 au 17 Mai 2024</t>
  </si>
  <si>
    <t>S21 - Du 20 au 24 Mai 2024</t>
  </si>
  <si>
    <t>S22 - Du 27 au 31 Mai 2024</t>
  </si>
  <si>
    <t>S23 - Du 03 au 07 Juin 2024</t>
  </si>
  <si>
    <t>S24 - Du 10 au 14 Juin 2024</t>
  </si>
  <si>
    <t>S25 - Du 17 au 21 Juin 2024</t>
  </si>
  <si>
    <t>S26 - Du 24 au 28 Juin 2024</t>
  </si>
  <si>
    <t>S27 - Du 01 au 05 Juillet 2024</t>
  </si>
  <si>
    <t>S28 - Du 08 au 12 Juillet 2024</t>
  </si>
  <si>
    <t>S29 - Du15 au 19 Juillet 2024</t>
  </si>
  <si>
    <t>S30 - Du 22 au 26 Juillet 2024</t>
  </si>
  <si>
    <t>S31 - Du 29 Juillet au 02 Août 2024</t>
  </si>
  <si>
    <t>S32 - Du 05 au 09 Août 2024</t>
  </si>
  <si>
    <t>S33 - Du 12 au 16 Août 2024</t>
  </si>
  <si>
    <t>S34 - Du 19 au 23 Août 2024</t>
  </si>
  <si>
    <t>S35 - Du 26 au 30 Août 2024</t>
  </si>
  <si>
    <t>S36 - Du 02 au 06 Septembre 2024</t>
  </si>
  <si>
    <t>S37 - Du 09 au 13 Septembre 2024</t>
  </si>
  <si>
    <t>S38 - Du 16 au 20 Septembre 2024</t>
  </si>
  <si>
    <t>S39 - Du 23 au 27 Septembre 2024</t>
  </si>
  <si>
    <t>06 SDD</t>
  </si>
  <si>
    <t>06 INDUS</t>
  </si>
  <si>
    <t>07 SDD</t>
  </si>
  <si>
    <t>07 INDUS</t>
  </si>
  <si>
    <t>08 SDD</t>
  </si>
  <si>
    <t>08 INDUS</t>
  </si>
  <si>
    <t>09 SDD</t>
  </si>
  <si>
    <t>09 INDUS</t>
  </si>
  <si>
    <t>14B SDD</t>
  </si>
  <si>
    <t>14B INDUS</t>
  </si>
  <si>
    <t>14H SDD</t>
  </si>
  <si>
    <t>14H INDUS</t>
  </si>
  <si>
    <t>15B SDD</t>
  </si>
  <si>
    <t>15H INDUS</t>
  </si>
  <si>
    <t>15B INDUS</t>
  </si>
  <si>
    <t>15H SDD</t>
  </si>
  <si>
    <t>16B SDD</t>
  </si>
  <si>
    <t>16B INDUS</t>
  </si>
  <si>
    <t>16H SDD</t>
  </si>
  <si>
    <t>16H INDUS</t>
  </si>
  <si>
    <t>17 SDD</t>
  </si>
  <si>
    <t>17 INDUS</t>
  </si>
  <si>
    <t>22 SDD</t>
  </si>
  <si>
    <t>22 INDUS</t>
  </si>
  <si>
    <t>23 SDD</t>
  </si>
  <si>
    <t>23 INDUS</t>
  </si>
  <si>
    <t>24 SDD</t>
  </si>
  <si>
    <t>24 INDUS</t>
  </si>
  <si>
    <t>FONCTION</t>
  </si>
  <si>
    <t>FORMATION</t>
  </si>
  <si>
    <t>SYNTHESE SEMAINE</t>
  </si>
  <si>
    <t>TOTAL COLLABORATEURS</t>
  </si>
  <si>
    <t>SYNTHESE ENSEMBLE CMN</t>
  </si>
  <si>
    <t>SYNTHESE FONCTION CMN</t>
  </si>
  <si>
    <t>STRUCTURE</t>
  </si>
  <si>
    <t>SYNTHESE FONCTION AUTRE</t>
  </si>
  <si>
    <t>Martin BERTHO</t>
  </si>
  <si>
    <t>PANNE INFORMATIQUE</t>
  </si>
  <si>
    <t>ATTENTE</t>
  </si>
  <si>
    <t>TOTAL 
PREVU</t>
  </si>
  <si>
    <t>PROGRESSION DETAILEE</t>
  </si>
  <si>
    <t>PROGRESSION BLOC</t>
  </si>
  <si>
    <t>Dépassement</t>
  </si>
  <si>
    <t>Fonction AUTRE</t>
  </si>
  <si>
    <t>Projet</t>
  </si>
  <si>
    <t>TOTAL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</si>
</sst>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#,##0.00\ &quot;€&quot;;[Red]\-#,##0.00\ &quot;€&quot;"/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0"/>
      <color rgb="FF000000"/>
      <name val="Calibri"/>
      <family val="2"/>
    </font>
    <font>
      <b/>
      <sz val="14"/>
      <color rgb="FF002060"/>
      <name val="Avenir Next LT Pro"/>
      <family val="2"/>
    </font>
    <font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darkUp">
        <bgColor theme="0" tint="-4.9989318521683403E-2"/>
      </patternFill>
    </fill>
    <fill>
      <patternFill patternType="solid">
        <fgColor rgb="FFDEFA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7C2FF"/>
        <bgColor indexed="64"/>
      </patternFill>
    </fill>
    <fill>
      <patternFill patternType="solid">
        <fgColor theme="9"/>
        <bgColor indexed="64"/>
      </patternFill>
    </fill>
  </fills>
  <borders count="5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136">
    <xf numFmtId="0" fontId="0" fillId="0" borderId="0" xfId="0"/>
    <xf numFmtId="0" fontId="0" fillId="2" borderId="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6" xfId="0" applyBorder="1" applyAlignment="1" applyProtection="1">
      <alignment horizontal="center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0" fontId="0" fillId="0" borderId="29" xfId="0" applyBorder="1" applyAlignment="1" applyProtection="1">
      <alignment horizontal="center"/>
      <protection hidden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2" xfId="0" applyBorder="1" applyAlignment="1" applyProtection="1">
      <alignment horizontal="center"/>
      <protection hidden="1"/>
    </xf>
    <xf numFmtId="0" fontId="0" fillId="0" borderId="33" xfId="0" applyBorder="1" applyAlignment="1" applyProtection="1">
      <alignment horizontal="center"/>
      <protection hidden="1"/>
    </xf>
    <xf numFmtId="0" fontId="0" fillId="0" borderId="24" xfId="0" applyBorder="1" applyAlignment="1" applyProtection="1">
      <alignment horizontal="center"/>
      <protection hidden="1"/>
    </xf>
    <xf numFmtId="0" fontId="0" fillId="0" borderId="25" xfId="0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8" fontId="0" fillId="0" borderId="18" xfId="0" applyNumberFormat="1" applyBorder="1" applyAlignment="1" applyProtection="1">
      <alignment horizontal="center" vertical="center"/>
      <protection locked="0"/>
    </xf>
    <xf numFmtId="8" fontId="0" fillId="0" borderId="6" xfId="0" applyNumberFormat="1" applyBorder="1" applyAlignment="1" applyProtection="1">
      <alignment horizontal="center" vertical="center"/>
      <protection locked="0"/>
    </xf>
    <xf numFmtId="8" fontId="0" fillId="0" borderId="7" xfId="0" applyNumberForma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4" borderId="15" xfId="0" applyFill="1" applyBorder="1" applyAlignment="1">
      <alignment horizontal="center" vertical="center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4" borderId="20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42" xfId="0" applyBorder="1" applyAlignment="1" applyProtection="1">
      <alignment horizontal="center" vertical="center"/>
      <protection hidden="1"/>
    </xf>
    <xf numFmtId="0" fontId="0" fillId="0" borderId="43" xfId="0" applyBorder="1" applyAlignment="1">
      <alignment horizontal="center"/>
    </xf>
    <xf numFmtId="0" fontId="0" fillId="0" borderId="44" xfId="0" applyBorder="1" applyAlignment="1" applyProtection="1">
      <alignment horizontal="center" vertical="center"/>
      <protection hidden="1"/>
    </xf>
    <xf numFmtId="0" fontId="0" fillId="0" borderId="1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7" xfId="0" applyBorder="1"/>
    <xf numFmtId="0" fontId="0" fillId="0" borderId="29" xfId="0" applyBorder="1"/>
    <xf numFmtId="0" fontId="3" fillId="6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4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0" xfId="0" applyBorder="1"/>
    <xf numFmtId="0" fontId="3" fillId="0" borderId="9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/>
    </xf>
    <xf numFmtId="9" fontId="0" fillId="0" borderId="14" xfId="1" applyFont="1" applyBorder="1" applyAlignment="1">
      <alignment horizontal="center"/>
    </xf>
    <xf numFmtId="9" fontId="0" fillId="0" borderId="20" xfId="1" applyFont="1" applyBorder="1" applyAlignment="1">
      <alignment horizontal="center"/>
    </xf>
    <xf numFmtId="0" fontId="0" fillId="0" borderId="6" xfId="0" applyBorder="1"/>
    <xf numFmtId="0" fontId="1" fillId="6" borderId="2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0" fillId="6" borderId="3" xfId="0" applyFill="1" applyBorder="1" applyAlignment="1">
      <alignment wrapText="1"/>
    </xf>
    <xf numFmtId="0" fontId="1" fillId="6" borderId="3" xfId="0" applyFont="1" applyFill="1" applyBorder="1" applyAlignment="1">
      <alignment vertical="center" wrapText="1"/>
    </xf>
    <xf numFmtId="0" fontId="0" fillId="6" borderId="4" xfId="0" applyFill="1" applyBorder="1" applyAlignment="1">
      <alignment wrapText="1"/>
    </xf>
    <xf numFmtId="0" fontId="0" fillId="0" borderId="7" xfId="0" applyBorder="1"/>
    <xf numFmtId="0" fontId="0" fillId="0" borderId="41" xfId="0" applyBorder="1"/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Alignment="1">
      <alignment horizontal="center"/>
    </xf>
    <xf numFmtId="0" fontId="4" fillId="0" borderId="0" xfId="0" applyFont="1" applyAlignment="1" applyProtection="1">
      <alignment horizontal="center" vertical="center"/>
      <protection hidden="1"/>
    </xf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8" fillId="0" borderId="40" xfId="0" applyFont="1" applyBorder="1" applyAlignment="1">
      <alignment vertical="center"/>
    </xf>
    <xf numFmtId="0" fontId="0" fillId="0" borderId="6" xfId="1" applyNumberFormat="1" applyFont="1" applyBorder="1" applyAlignment="1">
      <alignment horizontal="center" vertical="center"/>
    </xf>
    <xf numFmtId="0" fontId="0" fillId="0" borderId="10" xfId="1" applyNumberFormat="1" applyFont="1" applyBorder="1" applyAlignment="1">
      <alignment horizontal="center" vertical="center"/>
    </xf>
    <xf numFmtId="0" fontId="0" fillId="0" borderId="16" xfId="1" applyNumberFormat="1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16" xfId="0" applyBorder="1"/>
    <xf numFmtId="0" fontId="0" fillId="0" borderId="33" xfId="0" applyBorder="1"/>
    <xf numFmtId="0" fontId="10" fillId="6" borderId="2" xfId="0" applyFont="1" applyFill="1" applyBorder="1" applyAlignment="1">
      <alignment horizontal="center" vertical="center" wrapText="1"/>
    </xf>
    <xf numFmtId="0" fontId="0" fillId="0" borderId="47" xfId="0" applyBorder="1" applyAlignment="1" applyProtection="1">
      <alignment horizontal="center" vertical="center"/>
      <protection hidden="1"/>
    </xf>
    <xf numFmtId="0" fontId="0" fillId="0" borderId="45" xfId="1" applyNumberFormat="1" applyFont="1" applyBorder="1" applyAlignment="1">
      <alignment horizontal="center" vertical="center"/>
    </xf>
    <xf numFmtId="0" fontId="0" fillId="0" borderId="11" xfId="1" applyNumberFormat="1" applyFont="1" applyBorder="1" applyAlignment="1">
      <alignment horizontal="center" vertical="center"/>
    </xf>
    <xf numFmtId="0" fontId="0" fillId="0" borderId="19" xfId="1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4" xfId="0" applyBorder="1" applyAlignment="1" applyProtection="1">
      <alignment horizontal="center" vertical="center"/>
      <protection hidden="1"/>
    </xf>
    <xf numFmtId="0" fontId="0" fillId="0" borderId="26" xfId="0" applyBorder="1" applyAlignment="1" applyProtection="1">
      <alignment horizontal="center" vertical="center"/>
      <protection hidden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 applyProtection="1">
      <alignment horizontal="center" vertical="center"/>
      <protection hidden="1"/>
    </xf>
    <xf numFmtId="164" fontId="0" fillId="0" borderId="0" xfId="0" applyNumberFormat="1" applyAlignment="1">
      <alignment horizontal="center"/>
    </xf>
    <xf numFmtId="9" fontId="0" fillId="0" borderId="9" xfId="1" applyFont="1" applyBorder="1" applyAlignment="1">
      <alignment horizontal="center" vertical="center"/>
    </xf>
    <xf numFmtId="9" fontId="0" fillId="0" borderId="46" xfId="1" applyFont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7" borderId="23" xfId="0" applyFont="1" applyFill="1" applyBorder="1" applyAlignment="1">
      <alignment horizontal="center" vertical="center"/>
    </xf>
    <xf numFmtId="0" fontId="8" fillId="7" borderId="13" xfId="0" applyFont="1" applyFill="1" applyBorder="1" applyAlignment="1">
      <alignment horizontal="center" vertical="center"/>
    </xf>
    <xf numFmtId="0" fontId="10" fillId="0" borderId="50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8" fillId="7" borderId="49" xfId="0" applyFont="1" applyFill="1" applyBorder="1" applyAlignment="1">
      <alignment horizontal="center" vertical="center"/>
    </xf>
    <xf numFmtId="0" fontId="8" fillId="7" borderId="48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7" borderId="38" xfId="0" applyFont="1" applyFill="1" applyBorder="1" applyAlignment="1" applyProtection="1">
      <alignment horizontal="center" vertical="center"/>
      <protection hidden="1"/>
    </xf>
    <xf numFmtId="0" fontId="8" fillId="7" borderId="0" xfId="0" applyFont="1" applyFill="1" applyAlignment="1" applyProtection="1">
      <alignment horizontal="center" vertical="center"/>
      <protection hidden="1"/>
    </xf>
    <xf numFmtId="0" fontId="4" fillId="7" borderId="40" xfId="0" applyFont="1" applyFill="1" applyBorder="1" applyAlignment="1" applyProtection="1">
      <alignment horizontal="center" vertical="center"/>
      <protection hidden="1"/>
    </xf>
    <xf numFmtId="0" fontId="4" fillId="7" borderId="37" xfId="0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>
      <alignment horizont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5" fillId="0" borderId="30" xfId="0" applyFont="1" applyBorder="1" applyAlignment="1">
      <alignment horizontal="center"/>
    </xf>
    <xf numFmtId="0" fontId="5" fillId="0" borderId="31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4" fillId="6" borderId="24" xfId="0" applyFont="1" applyFill="1" applyBorder="1" applyAlignment="1" applyProtection="1">
      <alignment horizontal="center" vertical="center"/>
      <protection hidden="1"/>
    </xf>
    <xf numFmtId="0" fontId="4" fillId="6" borderId="25" xfId="0" applyFont="1" applyFill="1" applyBorder="1" applyAlignment="1" applyProtection="1">
      <alignment horizontal="center" vertical="center"/>
      <protection hidden="1"/>
    </xf>
  </cellXfs>
  <cellStyles count="2">
    <cellStyle name="Normal" xfId="0" builtinId="0"/>
    <cellStyle name="Pourcentage" xfId="1" builtinId="5"/>
  </cellStyles>
  <dxfs count="6"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CCCCFF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</dxfs>
  <tableStyles count="0" defaultTableStyle="TableStyleMedium2" defaultPivotStyle="PivotStyleLight16"/>
  <colors>
    <mruColors>
      <color rgb="FF47C2FF"/>
      <color rgb="FF3399FF"/>
      <color rgb="FFFFCC99"/>
      <color rgb="FFCCCCFF"/>
      <color rgb="FFDEFAD2"/>
      <color rgb="FFCCFFFF"/>
      <color rgb="FFEED57A"/>
      <color rgb="FFFF8181"/>
      <color rgb="FFFFFF99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0E2-4856-95D7-A4DFB88DE844}"/>
              </c:ext>
            </c:extLst>
          </c:dPt>
          <c:dPt>
            <c:idx val="1"/>
            <c:bubble3D val="0"/>
            <c:spPr>
              <a:solidFill>
                <a:srgbClr val="EED57A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0E2-4856-95D7-A4DFB88DE844}"/>
              </c:ext>
            </c:extLst>
          </c:dPt>
          <c:dPt>
            <c:idx val="2"/>
            <c:bubble3D val="0"/>
            <c:spPr>
              <a:solidFill>
                <a:srgbClr val="DEFAD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0E2-4856-95D7-A4DFB88DE844}"/>
              </c:ext>
            </c:extLst>
          </c:dPt>
          <c:dPt>
            <c:idx val="3"/>
            <c:bubble3D val="0"/>
            <c:spPr>
              <a:solidFill>
                <a:srgbClr val="CC99FF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0E2-4856-95D7-A4DFB88DE844}"/>
              </c:ext>
            </c:extLst>
          </c:dPt>
          <c:dPt>
            <c:idx val="4"/>
            <c:bubble3D val="0"/>
            <c:spPr>
              <a:solidFill>
                <a:srgbClr val="FF66CC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0E2-4856-95D7-A4DFB88DE844}"/>
              </c:ext>
            </c:extLst>
          </c:dPt>
          <c:dPt>
            <c:idx val="5"/>
            <c:bubble3D val="0"/>
            <c:spPr>
              <a:solidFill>
                <a:srgbClr val="FF818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0E2-4856-95D7-A4DFB88DE844}"/>
              </c:ext>
            </c:extLst>
          </c:dPt>
          <c:dPt>
            <c:idx val="6"/>
            <c:bubble3D val="0"/>
            <c:spPr>
              <a:solidFill>
                <a:srgbClr val="CCFFFF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60E2-4856-95D7-A4DFB88DE84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BILAN!$G$33:$G$39</c:f>
              <c:strCache>
                <c:ptCount val="7"/>
                <c:pt idx="0">
                  <c:v>FORMATION</c:v>
                </c:pt>
                <c:pt idx="1">
                  <c:v>GESTION PROJET</c:v>
                </c:pt>
                <c:pt idx="2">
                  <c:v>REUNION</c:v>
                </c:pt>
                <c:pt idx="3">
                  <c:v>STRUCTURE </c:v>
                </c:pt>
                <c:pt idx="4">
                  <c:v>CARLINGAGE</c:v>
                </c:pt>
                <c:pt idx="5">
                  <c:v>PANNE INFORMATIQUE</c:v>
                </c:pt>
                <c:pt idx="6">
                  <c:v>ATTENTE</c:v>
                </c:pt>
              </c:strCache>
            </c:strRef>
          </c:cat>
          <c:val>
            <c:numRef>
              <c:f>BILAN!$H$33:$H$39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0E2-4856-95D7-A4DFB88DE84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130671166104221"/>
          <c:y val="0.26421186897311899"/>
          <c:w val="0.15274090738657667"/>
          <c:h val="0.50773028191214653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100348</xdr:colOff>
      <xdr:row>31</xdr:row>
      <xdr:rowOff>99331</xdr:rowOff>
    </xdr:from>
    <xdr:to>
      <xdr:col>5</xdr:col>
      <xdr:colOff>2306784</xdr:colOff>
      <xdr:row>48</xdr:row>
      <xdr:rowOff>85181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2</xdr:row>
          <xdr:rowOff>190500</xdr:rowOff>
        </xdr:from>
        <xdr:to>
          <xdr:col>1</xdr:col>
          <xdr:colOff>830580</xdr:colOff>
          <xdr:row>30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34A04-39F2-4B1B-AB9E-3BD839F22631}">
  <sheetPr codeName="Feuil56"/>
  <dimension ref="B1:AL58"/>
  <sheetViews>
    <sheetView tabSelected="1" zoomScale="55" zoomScaleNormal="55" workbookViewId="0">
      <pane ySplit="3" topLeftCell="A27" activePane="bottomLeft" state="frozen"/>
      <selection pane="bottomLeft" activeCell="G60" sqref="G60"/>
    </sheetView>
  </sheetViews>
  <sheetFormatPr baseColWidth="10" defaultRowHeight="14.4" outlineLevelCol="1" x14ac:dyDescent="0.3"/>
  <cols>
    <col min="1" max="1" width="8.5546875" customWidth="1"/>
    <col min="2" max="2" width="14.21875" customWidth="1"/>
    <col min="3" max="6" width="35.77734375" customWidth="1"/>
    <col min="7" max="8" width="35.6640625" customWidth="1"/>
    <col min="9" max="20" width="18.6640625" customWidth="1" outlineLevel="1"/>
    <col min="21" max="38" width="18.6640625" customWidth="1"/>
  </cols>
  <sheetData>
    <row r="1" spans="3:38" ht="30.6" customHeight="1" thickBot="1" x14ac:dyDescent="0.35">
      <c r="C1" s="89" t="s">
        <v>111</v>
      </c>
      <c r="D1" s="107"/>
      <c r="E1" s="108"/>
    </row>
    <row r="2" spans="3:38" ht="30" customHeight="1" thickBot="1" x14ac:dyDescent="0.35">
      <c r="C2" s="82"/>
      <c r="D2" s="82"/>
      <c r="E2" s="82"/>
      <c r="F2" s="82"/>
      <c r="G2" s="104" t="str">
        <f xml:space="preserve"> "Projet " &amp; D1</f>
        <v xml:space="preserve">Projet </v>
      </c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6"/>
    </row>
    <row r="3" spans="3:38" ht="29.4" thickBot="1" x14ac:dyDescent="0.35">
      <c r="C3" s="62" t="s">
        <v>106</v>
      </c>
      <c r="D3" s="62" t="s">
        <v>109</v>
      </c>
      <c r="E3" s="62" t="s">
        <v>107</v>
      </c>
      <c r="F3" s="62" t="s">
        <v>108</v>
      </c>
      <c r="G3" s="61" t="s">
        <v>2</v>
      </c>
      <c r="H3" s="62" t="s">
        <v>98</v>
      </c>
      <c r="I3" s="69"/>
      <c r="J3" s="70"/>
      <c r="K3" s="70"/>
      <c r="L3" s="70"/>
      <c r="M3" s="56"/>
      <c r="N3" s="56"/>
      <c r="O3" s="56"/>
      <c r="P3" s="56"/>
      <c r="Q3" s="56"/>
      <c r="R3" s="56"/>
      <c r="S3" s="56"/>
      <c r="T3" s="56"/>
      <c r="U3" s="71"/>
      <c r="V3" s="71"/>
      <c r="W3" s="71"/>
      <c r="X3" s="71"/>
      <c r="Y3" s="71"/>
      <c r="Z3" s="71"/>
      <c r="AA3" s="71"/>
      <c r="AB3" s="71"/>
      <c r="AC3" s="71"/>
      <c r="AD3" s="72"/>
      <c r="AE3" s="72"/>
      <c r="AF3" s="72"/>
      <c r="AG3" s="72"/>
      <c r="AH3" s="72"/>
      <c r="AI3" s="72"/>
      <c r="AJ3" s="71"/>
      <c r="AK3" s="71"/>
      <c r="AL3" s="73"/>
    </row>
    <row r="4" spans="3:38" x14ac:dyDescent="0.3">
      <c r="C4" s="64">
        <f>192+30+100</f>
        <v>322</v>
      </c>
      <c r="D4" s="63">
        <f t="shared" ref="D4:D31" si="0">H4-C4</f>
        <v>-322</v>
      </c>
      <c r="E4" s="66">
        <f t="shared" ref="E4:E31" si="1">H4/C4</f>
        <v>0</v>
      </c>
      <c r="F4" s="102">
        <f>(H4+H5)/(C4+C5)</f>
        <v>0</v>
      </c>
      <c r="G4" s="90" t="s">
        <v>67</v>
      </c>
      <c r="H4" s="94">
        <f>SUM(I4:AL4)</f>
        <v>0</v>
      </c>
      <c r="I4" s="91"/>
      <c r="J4" s="83"/>
      <c r="K4" s="83"/>
      <c r="L4" s="83"/>
      <c r="M4" s="83"/>
      <c r="N4" s="59"/>
      <c r="O4" s="59"/>
      <c r="P4" s="59"/>
      <c r="Q4" s="59"/>
      <c r="R4" s="59"/>
      <c r="S4" s="59"/>
      <c r="T4" s="59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  <c r="AJ4" s="68"/>
      <c r="AK4" s="68"/>
      <c r="AL4" s="74"/>
    </row>
    <row r="5" spans="3:38" ht="15" thickBot="1" x14ac:dyDescent="0.35">
      <c r="C5" s="65">
        <f>265+20</f>
        <v>285</v>
      </c>
      <c r="D5" s="45">
        <f t="shared" si="0"/>
        <v>-285</v>
      </c>
      <c r="E5" s="67">
        <f t="shared" si="1"/>
        <v>0</v>
      </c>
      <c r="F5" s="103"/>
      <c r="G5" s="48" t="s">
        <v>68</v>
      </c>
      <c r="H5" s="95">
        <f>SUM(I5:AL5)</f>
        <v>0</v>
      </c>
      <c r="I5" s="92"/>
      <c r="J5" s="84"/>
      <c r="K5" s="84"/>
      <c r="L5" s="84"/>
      <c r="M5" s="84"/>
      <c r="N5" s="51"/>
      <c r="O5" s="51"/>
      <c r="P5" s="51"/>
      <c r="Q5" s="51"/>
      <c r="R5" s="51"/>
      <c r="S5" s="51"/>
      <c r="T5" s="51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54"/>
    </row>
    <row r="6" spans="3:38" x14ac:dyDescent="0.3">
      <c r="C6" s="64">
        <f>134+100</f>
        <v>234</v>
      </c>
      <c r="D6" s="63">
        <f t="shared" si="0"/>
        <v>-234</v>
      </c>
      <c r="E6" s="66">
        <f t="shared" si="1"/>
        <v>0</v>
      </c>
      <c r="F6" s="102">
        <f>(H6+H7)/(C6+C7)</f>
        <v>0</v>
      </c>
      <c r="G6" s="50" t="s">
        <v>69</v>
      </c>
      <c r="H6" s="96">
        <f t="shared" ref="H6:H47" si="2">SUM(I6:AL6)</f>
        <v>0</v>
      </c>
      <c r="I6" s="92"/>
      <c r="J6" s="84"/>
      <c r="K6" s="84"/>
      <c r="L6" s="84"/>
      <c r="M6" s="84"/>
      <c r="N6" s="51"/>
      <c r="O6" s="51"/>
      <c r="P6" s="51"/>
      <c r="Q6" s="51"/>
      <c r="R6" s="51"/>
      <c r="S6" s="51"/>
      <c r="T6" s="51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54"/>
    </row>
    <row r="7" spans="3:38" ht="15" thickBot="1" x14ac:dyDescent="0.35">
      <c r="C7" s="65">
        <f>183+100</f>
        <v>283</v>
      </c>
      <c r="D7" s="45">
        <f t="shared" si="0"/>
        <v>-283</v>
      </c>
      <c r="E7" s="67">
        <f t="shared" si="1"/>
        <v>0</v>
      </c>
      <c r="F7" s="103"/>
      <c r="G7" s="48" t="s">
        <v>70</v>
      </c>
      <c r="H7" s="95">
        <f t="shared" si="2"/>
        <v>0</v>
      </c>
      <c r="I7" s="92"/>
      <c r="J7" s="84"/>
      <c r="K7" s="84"/>
      <c r="L7" s="84"/>
      <c r="M7" s="84"/>
      <c r="N7" s="51"/>
      <c r="O7" s="51"/>
      <c r="P7" s="51"/>
      <c r="Q7" s="51"/>
      <c r="R7" s="51"/>
      <c r="S7" s="51"/>
      <c r="T7" s="51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54"/>
    </row>
    <row r="8" spans="3:38" x14ac:dyDescent="0.3">
      <c r="C8" s="64">
        <f>248+10</f>
        <v>258</v>
      </c>
      <c r="D8" s="63">
        <f t="shared" si="0"/>
        <v>-258</v>
      </c>
      <c r="E8" s="66">
        <f t="shared" si="1"/>
        <v>0</v>
      </c>
      <c r="F8" s="102">
        <f>(H8+H9)/(C8+C9)</f>
        <v>0</v>
      </c>
      <c r="G8" s="50" t="s">
        <v>71</v>
      </c>
      <c r="H8" s="96">
        <f t="shared" si="2"/>
        <v>0</v>
      </c>
      <c r="I8" s="92"/>
      <c r="J8" s="84"/>
      <c r="K8" s="84"/>
      <c r="L8" s="84"/>
      <c r="M8" s="84"/>
      <c r="N8" s="51"/>
      <c r="O8" s="51"/>
      <c r="P8" s="51"/>
      <c r="Q8" s="51"/>
      <c r="R8" s="51"/>
      <c r="S8" s="51"/>
      <c r="T8" s="51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54"/>
    </row>
    <row r="9" spans="3:38" ht="15" thickBot="1" x14ac:dyDescent="0.35">
      <c r="C9" s="65">
        <f>276+10</f>
        <v>286</v>
      </c>
      <c r="D9" s="45">
        <f t="shared" si="0"/>
        <v>-286</v>
      </c>
      <c r="E9" s="67">
        <f t="shared" si="1"/>
        <v>0</v>
      </c>
      <c r="F9" s="103"/>
      <c r="G9" s="48" t="s">
        <v>72</v>
      </c>
      <c r="H9" s="95">
        <f t="shared" si="2"/>
        <v>0</v>
      </c>
      <c r="I9" s="92"/>
      <c r="J9" s="84"/>
      <c r="K9" s="84"/>
      <c r="L9" s="84"/>
      <c r="M9" s="84"/>
      <c r="N9" s="51"/>
      <c r="O9" s="51"/>
      <c r="P9" s="51"/>
      <c r="Q9" s="51"/>
      <c r="R9" s="51"/>
      <c r="S9" s="51"/>
      <c r="T9" s="51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54"/>
    </row>
    <row r="10" spans="3:38" x14ac:dyDescent="0.3">
      <c r="C10" s="64">
        <f>300+25+100</f>
        <v>425</v>
      </c>
      <c r="D10" s="63">
        <f t="shared" si="0"/>
        <v>-425</v>
      </c>
      <c r="E10" s="66">
        <f t="shared" si="1"/>
        <v>0</v>
      </c>
      <c r="F10" s="102">
        <f>(H10+H11)/(C10+C11)</f>
        <v>0</v>
      </c>
      <c r="G10" s="50" t="s">
        <v>73</v>
      </c>
      <c r="H10" s="96">
        <f t="shared" si="2"/>
        <v>0</v>
      </c>
      <c r="I10" s="92"/>
      <c r="J10" s="84"/>
      <c r="K10" s="84"/>
      <c r="L10" s="84"/>
      <c r="M10" s="84"/>
      <c r="N10" s="51"/>
      <c r="O10" s="51"/>
      <c r="P10" s="51"/>
      <c r="Q10" s="51"/>
      <c r="R10" s="51"/>
      <c r="S10" s="51"/>
      <c r="T10" s="51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54"/>
    </row>
    <row r="11" spans="3:38" ht="15" thickBot="1" x14ac:dyDescent="0.35">
      <c r="C11" s="65">
        <v>543</v>
      </c>
      <c r="D11" s="45">
        <f t="shared" si="0"/>
        <v>-543</v>
      </c>
      <c r="E11" s="67">
        <f t="shared" si="1"/>
        <v>0</v>
      </c>
      <c r="F11" s="103"/>
      <c r="G11" s="48" t="s">
        <v>74</v>
      </c>
      <c r="H11" s="95">
        <f t="shared" si="2"/>
        <v>0</v>
      </c>
      <c r="I11" s="92"/>
      <c r="J11" s="84"/>
      <c r="K11" s="84"/>
      <c r="L11" s="84"/>
      <c r="M11" s="84"/>
      <c r="N11" s="51"/>
      <c r="O11" s="51"/>
      <c r="P11" s="51"/>
      <c r="Q11" s="51"/>
      <c r="R11" s="51"/>
      <c r="S11" s="51"/>
      <c r="T11" s="51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54"/>
    </row>
    <row r="12" spans="3:38" x14ac:dyDescent="0.3">
      <c r="C12" s="64">
        <v>220</v>
      </c>
      <c r="D12" s="63">
        <f t="shared" si="0"/>
        <v>-220</v>
      </c>
      <c r="E12" s="66">
        <f t="shared" si="1"/>
        <v>0</v>
      </c>
      <c r="F12" s="102">
        <f>(H12+H13)/(C12+C13)</f>
        <v>0</v>
      </c>
      <c r="G12" s="50" t="s">
        <v>75</v>
      </c>
      <c r="H12" s="96">
        <f t="shared" si="2"/>
        <v>0</v>
      </c>
      <c r="I12" s="92"/>
      <c r="J12" s="84"/>
      <c r="K12" s="84"/>
      <c r="L12" s="84"/>
      <c r="M12" s="84"/>
      <c r="N12" s="51"/>
      <c r="O12" s="51"/>
      <c r="P12" s="51"/>
      <c r="Q12" s="51"/>
      <c r="R12" s="51"/>
      <c r="S12" s="51"/>
      <c r="T12" s="51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54"/>
    </row>
    <row r="13" spans="3:38" ht="15" thickBot="1" x14ac:dyDescent="0.35">
      <c r="C13" s="65">
        <v>170</v>
      </c>
      <c r="D13" s="45">
        <f t="shared" si="0"/>
        <v>-170</v>
      </c>
      <c r="E13" s="67">
        <f t="shared" si="1"/>
        <v>0</v>
      </c>
      <c r="F13" s="103"/>
      <c r="G13" s="48" t="s">
        <v>76</v>
      </c>
      <c r="H13" s="95">
        <f t="shared" si="2"/>
        <v>0</v>
      </c>
      <c r="I13" s="92"/>
      <c r="J13" s="84"/>
      <c r="K13" s="84"/>
      <c r="L13" s="84"/>
      <c r="M13" s="84"/>
      <c r="N13" s="51"/>
      <c r="O13" s="51"/>
      <c r="P13" s="51"/>
      <c r="Q13" s="51"/>
      <c r="R13" s="51"/>
      <c r="S13" s="51"/>
      <c r="T13" s="51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54"/>
    </row>
    <row r="14" spans="3:38" x14ac:dyDescent="0.3">
      <c r="C14" s="64">
        <v>201</v>
      </c>
      <c r="D14" s="63">
        <f t="shared" si="0"/>
        <v>-201</v>
      </c>
      <c r="E14" s="66">
        <f t="shared" si="1"/>
        <v>0</v>
      </c>
      <c r="F14" s="102">
        <f>(H14+H15)/(C14+C15)</f>
        <v>0</v>
      </c>
      <c r="G14" s="50" t="s">
        <v>77</v>
      </c>
      <c r="H14" s="96">
        <f t="shared" si="2"/>
        <v>0</v>
      </c>
      <c r="I14" s="92"/>
      <c r="J14" s="84"/>
      <c r="K14" s="84"/>
      <c r="L14" s="84"/>
      <c r="M14" s="84"/>
      <c r="N14" s="51"/>
      <c r="O14" s="51"/>
      <c r="P14" s="51"/>
      <c r="Q14" s="51"/>
      <c r="R14" s="51"/>
      <c r="S14" s="51"/>
      <c r="T14" s="51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54"/>
    </row>
    <row r="15" spans="3:38" ht="15" thickBot="1" x14ac:dyDescent="0.35">
      <c r="C15" s="65">
        <v>166</v>
      </c>
      <c r="D15" s="45">
        <f t="shared" si="0"/>
        <v>-166</v>
      </c>
      <c r="E15" s="67">
        <f t="shared" si="1"/>
        <v>0</v>
      </c>
      <c r="F15" s="103"/>
      <c r="G15" s="48" t="s">
        <v>78</v>
      </c>
      <c r="H15" s="95">
        <v>0</v>
      </c>
      <c r="I15" s="92"/>
      <c r="J15" s="84"/>
      <c r="K15" s="84"/>
      <c r="L15" s="84"/>
      <c r="M15" s="84"/>
      <c r="N15" s="51"/>
      <c r="O15" s="51"/>
      <c r="P15" s="51"/>
      <c r="Q15" s="51"/>
      <c r="R15" s="51"/>
      <c r="S15" s="51"/>
      <c r="T15" s="51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54"/>
    </row>
    <row r="16" spans="3:38" x14ac:dyDescent="0.3">
      <c r="C16" s="64">
        <v>177</v>
      </c>
      <c r="D16" s="63">
        <f t="shared" si="0"/>
        <v>-177</v>
      </c>
      <c r="E16" s="66">
        <f t="shared" si="1"/>
        <v>0</v>
      </c>
      <c r="F16" s="102">
        <f>(H16+H17)/(C16+C17)</f>
        <v>0</v>
      </c>
      <c r="G16" s="50" t="s">
        <v>79</v>
      </c>
      <c r="H16" s="96">
        <f t="shared" si="2"/>
        <v>0</v>
      </c>
      <c r="I16" s="92"/>
      <c r="J16" s="84"/>
      <c r="K16" s="84"/>
      <c r="L16" s="84"/>
      <c r="M16" s="84"/>
      <c r="N16" s="51"/>
      <c r="O16" s="51"/>
      <c r="P16" s="51"/>
      <c r="Q16" s="51"/>
      <c r="R16" s="51"/>
      <c r="S16" s="51"/>
      <c r="T16" s="51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54"/>
    </row>
    <row r="17" spans="2:38" ht="15" thickBot="1" x14ac:dyDescent="0.35">
      <c r="C17" s="65">
        <v>150</v>
      </c>
      <c r="D17" s="45">
        <f t="shared" si="0"/>
        <v>-150</v>
      </c>
      <c r="E17" s="67">
        <f t="shared" si="1"/>
        <v>0</v>
      </c>
      <c r="F17" s="103"/>
      <c r="G17" s="48" t="s">
        <v>81</v>
      </c>
      <c r="H17" s="95">
        <f t="shared" si="2"/>
        <v>0</v>
      </c>
      <c r="I17" s="92"/>
      <c r="J17" s="84"/>
      <c r="K17" s="84"/>
      <c r="L17" s="84"/>
      <c r="M17" s="84"/>
      <c r="N17" s="51"/>
      <c r="O17" s="51"/>
      <c r="P17" s="51"/>
      <c r="Q17" s="51"/>
      <c r="R17" s="51"/>
      <c r="S17" s="51"/>
      <c r="T17" s="51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54"/>
    </row>
    <row r="18" spans="2:38" x14ac:dyDescent="0.3">
      <c r="C18" s="64">
        <v>160</v>
      </c>
      <c r="D18" s="63">
        <f t="shared" si="0"/>
        <v>-160</v>
      </c>
      <c r="E18" s="66">
        <f t="shared" si="1"/>
        <v>0</v>
      </c>
      <c r="F18" s="102">
        <f>(H18+H19)/(C18+C19)</f>
        <v>0</v>
      </c>
      <c r="G18" s="50" t="s">
        <v>82</v>
      </c>
      <c r="H18" s="96">
        <f t="shared" si="2"/>
        <v>0</v>
      </c>
      <c r="I18" s="92"/>
      <c r="J18" s="84"/>
      <c r="K18" s="84"/>
      <c r="L18" s="84"/>
      <c r="M18" s="84"/>
      <c r="N18" s="51"/>
      <c r="O18" s="51"/>
      <c r="P18" s="51"/>
      <c r="Q18" s="51"/>
      <c r="R18" s="51"/>
      <c r="S18" s="51"/>
      <c r="T18" s="51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54"/>
    </row>
    <row r="19" spans="2:38" ht="15" thickBot="1" x14ac:dyDescent="0.35">
      <c r="C19" s="65">
        <v>131</v>
      </c>
      <c r="D19" s="45">
        <f t="shared" si="0"/>
        <v>-131</v>
      </c>
      <c r="E19" s="67">
        <f t="shared" si="1"/>
        <v>0</v>
      </c>
      <c r="F19" s="103"/>
      <c r="G19" s="48" t="s">
        <v>80</v>
      </c>
      <c r="H19" s="95">
        <f t="shared" si="2"/>
        <v>0</v>
      </c>
      <c r="I19" s="92"/>
      <c r="J19" s="84"/>
      <c r="K19" s="84"/>
      <c r="L19" s="84"/>
      <c r="M19" s="84"/>
      <c r="N19" s="51"/>
      <c r="O19" s="51"/>
      <c r="P19" s="51"/>
      <c r="Q19" s="51"/>
      <c r="R19" s="51"/>
      <c r="S19" s="51"/>
      <c r="T19" s="51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54"/>
    </row>
    <row r="20" spans="2:38" x14ac:dyDescent="0.3">
      <c r="C20" s="64">
        <f>200+15</f>
        <v>215</v>
      </c>
      <c r="D20" s="63">
        <f t="shared" si="0"/>
        <v>-215</v>
      </c>
      <c r="E20" s="66">
        <f t="shared" si="1"/>
        <v>0</v>
      </c>
      <c r="F20" s="102">
        <f>(H20+H21)/(C20+C21)</f>
        <v>0</v>
      </c>
      <c r="G20" s="50" t="s">
        <v>83</v>
      </c>
      <c r="H20" s="96">
        <f t="shared" si="2"/>
        <v>0</v>
      </c>
      <c r="I20" s="92"/>
      <c r="J20" s="84"/>
      <c r="K20" s="84"/>
      <c r="L20" s="84"/>
      <c r="M20" s="84"/>
      <c r="N20" s="51"/>
      <c r="O20" s="51"/>
      <c r="P20" s="51"/>
      <c r="Q20" s="51"/>
      <c r="R20" s="51"/>
      <c r="S20" s="51"/>
      <c r="T20" s="51"/>
      <c r="U20" s="60"/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54"/>
    </row>
    <row r="21" spans="2:38" ht="15" thickBot="1" x14ac:dyDescent="0.35">
      <c r="C21" s="65">
        <f>160+15</f>
        <v>175</v>
      </c>
      <c r="D21" s="45">
        <f t="shared" si="0"/>
        <v>-175</v>
      </c>
      <c r="E21" s="67">
        <f t="shared" si="1"/>
        <v>0</v>
      </c>
      <c r="F21" s="103"/>
      <c r="G21" s="48" t="s">
        <v>84</v>
      </c>
      <c r="H21" s="95">
        <f t="shared" si="2"/>
        <v>0</v>
      </c>
      <c r="I21" s="92"/>
      <c r="J21" s="84"/>
      <c r="K21" s="84"/>
      <c r="L21" s="84"/>
      <c r="M21" s="84"/>
      <c r="N21" s="51"/>
      <c r="O21" s="51"/>
      <c r="P21" s="51"/>
      <c r="Q21" s="51"/>
      <c r="R21" s="51"/>
      <c r="S21" s="51"/>
      <c r="T21" s="51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54"/>
    </row>
    <row r="22" spans="2:38" x14ac:dyDescent="0.3">
      <c r="C22" s="64">
        <f>197+25+42.5</f>
        <v>264.5</v>
      </c>
      <c r="D22" s="63">
        <f t="shared" si="0"/>
        <v>-264.5</v>
      </c>
      <c r="E22" s="66">
        <f t="shared" si="1"/>
        <v>0</v>
      </c>
      <c r="F22" s="102">
        <f>(H22+H23)/(C22+C23)</f>
        <v>0</v>
      </c>
      <c r="G22" s="50" t="s">
        <v>85</v>
      </c>
      <c r="H22" s="96">
        <f t="shared" si="2"/>
        <v>0</v>
      </c>
      <c r="I22" s="92"/>
      <c r="J22" s="84"/>
      <c r="K22" s="84"/>
      <c r="L22" s="84"/>
      <c r="M22" s="84"/>
      <c r="N22" s="51"/>
      <c r="O22" s="51"/>
      <c r="P22" s="51"/>
      <c r="Q22" s="51"/>
      <c r="R22" s="51"/>
      <c r="S22" s="51"/>
      <c r="T22" s="51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54"/>
    </row>
    <row r="23" spans="2:38" ht="15" thickBot="1" x14ac:dyDescent="0.35">
      <c r="C23" s="65">
        <f>161+100</f>
        <v>261</v>
      </c>
      <c r="D23" s="45">
        <f t="shared" si="0"/>
        <v>-261</v>
      </c>
      <c r="E23" s="67">
        <f t="shared" si="1"/>
        <v>0</v>
      </c>
      <c r="F23" s="103"/>
      <c r="G23" s="48" t="s">
        <v>86</v>
      </c>
      <c r="H23" s="95">
        <f t="shared" si="2"/>
        <v>0</v>
      </c>
      <c r="I23" s="92"/>
      <c r="J23" s="84"/>
      <c r="K23" s="84"/>
      <c r="L23" s="84"/>
      <c r="M23" s="84"/>
      <c r="N23" s="51"/>
      <c r="O23" s="51"/>
      <c r="P23" s="51"/>
      <c r="Q23" s="51"/>
      <c r="R23" s="51"/>
      <c r="S23" s="51"/>
      <c r="T23" s="51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54"/>
    </row>
    <row r="24" spans="2:38" x14ac:dyDescent="0.3">
      <c r="C24" s="64">
        <f>382+90</f>
        <v>472</v>
      </c>
      <c r="D24" s="63">
        <f t="shared" si="0"/>
        <v>-472</v>
      </c>
      <c r="E24" s="66">
        <f t="shared" si="1"/>
        <v>0</v>
      </c>
      <c r="F24" s="102">
        <f>(H24+H25)/(C24+C25)</f>
        <v>0</v>
      </c>
      <c r="G24" s="50" t="s">
        <v>87</v>
      </c>
      <c r="H24" s="96">
        <f t="shared" si="2"/>
        <v>0</v>
      </c>
      <c r="I24" s="92"/>
      <c r="J24" s="84"/>
      <c r="K24" s="84"/>
      <c r="L24" s="84"/>
      <c r="M24" s="84"/>
      <c r="N24" s="51"/>
      <c r="O24" s="51"/>
      <c r="P24" s="51"/>
      <c r="Q24" s="51"/>
      <c r="R24" s="51"/>
      <c r="S24" s="51"/>
      <c r="T24" s="51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54"/>
    </row>
    <row r="25" spans="2:38" ht="15" thickBot="1" x14ac:dyDescent="0.35">
      <c r="C25" s="65">
        <f>457+110</f>
        <v>567</v>
      </c>
      <c r="D25" s="45">
        <f t="shared" si="0"/>
        <v>-567</v>
      </c>
      <c r="E25" s="67">
        <f t="shared" si="1"/>
        <v>0</v>
      </c>
      <c r="F25" s="103"/>
      <c r="G25" s="48" t="s">
        <v>88</v>
      </c>
      <c r="H25" s="95">
        <f t="shared" si="2"/>
        <v>0</v>
      </c>
      <c r="I25" s="92"/>
      <c r="J25" s="84"/>
      <c r="K25" s="84"/>
      <c r="L25" s="84"/>
      <c r="M25" s="84"/>
      <c r="N25" s="51"/>
      <c r="O25" s="51"/>
      <c r="P25" s="51"/>
      <c r="Q25" s="51"/>
      <c r="R25" s="51"/>
      <c r="S25" s="51"/>
      <c r="T25" s="51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  <c r="AK25" s="60"/>
      <c r="AL25" s="54"/>
    </row>
    <row r="26" spans="2:38" x14ac:dyDescent="0.3">
      <c r="C26" s="63">
        <v>180</v>
      </c>
      <c r="D26" s="63">
        <f t="shared" si="0"/>
        <v>-180</v>
      </c>
      <c r="E26" s="66">
        <f t="shared" si="1"/>
        <v>0</v>
      </c>
      <c r="F26" s="102">
        <f>(H26+H27)/(C26+C27)</f>
        <v>0</v>
      </c>
      <c r="G26" s="50" t="s">
        <v>89</v>
      </c>
      <c r="H26" s="96">
        <f t="shared" si="2"/>
        <v>0</v>
      </c>
      <c r="I26" s="92"/>
      <c r="J26" s="84"/>
      <c r="K26" s="84"/>
      <c r="L26" s="84"/>
      <c r="M26" s="84"/>
      <c r="N26" s="51"/>
      <c r="O26" s="51"/>
      <c r="P26" s="51"/>
      <c r="Q26" s="51"/>
      <c r="R26" s="51"/>
      <c r="S26" s="51"/>
      <c r="T26" s="51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0"/>
      <c r="AI26" s="60"/>
      <c r="AJ26" s="60"/>
      <c r="AK26" s="60"/>
      <c r="AL26" s="54"/>
    </row>
    <row r="27" spans="2:38" ht="15" thickBot="1" x14ac:dyDescent="0.35">
      <c r="C27" s="5">
        <v>224</v>
      </c>
      <c r="D27" s="45">
        <f t="shared" si="0"/>
        <v>-224</v>
      </c>
      <c r="E27" s="67">
        <f t="shared" si="1"/>
        <v>0</v>
      </c>
      <c r="F27" s="103"/>
      <c r="G27" s="48" t="s">
        <v>90</v>
      </c>
      <c r="H27" s="95">
        <f t="shared" si="2"/>
        <v>0</v>
      </c>
      <c r="I27" s="92"/>
      <c r="J27" s="84"/>
      <c r="K27" s="84"/>
      <c r="L27" s="84"/>
      <c r="M27" s="84"/>
      <c r="N27" s="51"/>
      <c r="O27" s="51"/>
      <c r="P27" s="51"/>
      <c r="Q27" s="51"/>
      <c r="R27" s="51"/>
      <c r="S27" s="51"/>
      <c r="T27" s="51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54"/>
    </row>
    <row r="28" spans="2:38" x14ac:dyDescent="0.3">
      <c r="C28" s="63">
        <v>320</v>
      </c>
      <c r="D28" s="63">
        <f t="shared" si="0"/>
        <v>-320</v>
      </c>
      <c r="E28" s="66">
        <f t="shared" si="1"/>
        <v>0</v>
      </c>
      <c r="F28" s="102">
        <f>(H28+H29)/(C28+C29)</f>
        <v>0</v>
      </c>
      <c r="G28" s="50" t="s">
        <v>91</v>
      </c>
      <c r="H28" s="96">
        <f t="shared" si="2"/>
        <v>0</v>
      </c>
      <c r="I28" s="92"/>
      <c r="J28" s="84"/>
      <c r="K28" s="84"/>
      <c r="L28" s="84"/>
      <c r="M28" s="84"/>
      <c r="N28" s="51"/>
      <c r="O28" s="51"/>
      <c r="P28" s="51"/>
      <c r="Q28" s="51"/>
      <c r="R28" s="51"/>
      <c r="S28" s="51"/>
      <c r="T28" s="51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54"/>
    </row>
    <row r="29" spans="2:38" ht="15" thickBot="1" x14ac:dyDescent="0.35">
      <c r="C29" s="5">
        <v>297</v>
      </c>
      <c r="D29" s="45">
        <f t="shared" si="0"/>
        <v>-297</v>
      </c>
      <c r="E29" s="67">
        <f t="shared" si="1"/>
        <v>0</v>
      </c>
      <c r="F29" s="103"/>
      <c r="G29" s="48" t="s">
        <v>92</v>
      </c>
      <c r="H29" s="95">
        <f t="shared" si="2"/>
        <v>0</v>
      </c>
      <c r="I29" s="92"/>
      <c r="J29" s="84"/>
      <c r="K29" s="84"/>
      <c r="L29" s="84"/>
      <c r="M29" s="84"/>
      <c r="N29" s="51"/>
      <c r="O29" s="51"/>
      <c r="P29" s="51"/>
      <c r="Q29" s="51"/>
      <c r="R29" s="51"/>
      <c r="S29" s="51"/>
      <c r="T29" s="51"/>
      <c r="U29" s="60"/>
      <c r="V29" s="60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54"/>
    </row>
    <row r="30" spans="2:38" x14ac:dyDescent="0.3">
      <c r="C30" s="63">
        <v>251</v>
      </c>
      <c r="D30" s="63">
        <f t="shared" si="0"/>
        <v>-251</v>
      </c>
      <c r="E30" s="66">
        <f t="shared" si="1"/>
        <v>0</v>
      </c>
      <c r="F30" s="102">
        <f>(H30+H31)/(C30+C31)</f>
        <v>0</v>
      </c>
      <c r="G30" s="50" t="s">
        <v>93</v>
      </c>
      <c r="H30" s="96">
        <f t="shared" si="2"/>
        <v>0</v>
      </c>
      <c r="I30" s="92"/>
      <c r="J30" s="84"/>
      <c r="K30" s="84"/>
      <c r="L30" s="84"/>
      <c r="M30" s="84"/>
      <c r="N30" s="51"/>
      <c r="O30" s="51"/>
      <c r="P30" s="51"/>
      <c r="Q30" s="51"/>
      <c r="R30" s="51"/>
      <c r="S30" s="51"/>
      <c r="T30" s="51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G30" s="60"/>
      <c r="AH30" s="60"/>
      <c r="AI30" s="60"/>
      <c r="AJ30" s="60"/>
      <c r="AK30" s="60"/>
      <c r="AL30" s="54"/>
    </row>
    <row r="31" spans="2:38" ht="15" thickBot="1" x14ac:dyDescent="0.35">
      <c r="C31" s="5">
        <v>276</v>
      </c>
      <c r="D31" s="45">
        <f t="shared" si="0"/>
        <v>-276</v>
      </c>
      <c r="E31" s="67">
        <f t="shared" si="1"/>
        <v>0</v>
      </c>
      <c r="F31" s="103"/>
      <c r="G31" s="48" t="s">
        <v>94</v>
      </c>
      <c r="H31" s="95">
        <f t="shared" si="2"/>
        <v>0</v>
      </c>
      <c r="I31" s="93"/>
      <c r="J31" s="85"/>
      <c r="K31" s="85"/>
      <c r="L31" s="85"/>
      <c r="M31" s="85"/>
      <c r="N31" s="86"/>
      <c r="O31" s="86"/>
      <c r="P31" s="86"/>
      <c r="Q31" s="86"/>
      <c r="R31" s="86"/>
      <c r="S31" s="86"/>
      <c r="T31" s="86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  <c r="AL31" s="88"/>
    </row>
    <row r="32" spans="2:38" ht="29.4" thickBot="1" x14ac:dyDescent="0.4">
      <c r="B32" s="77"/>
      <c r="C32" s="77"/>
      <c r="D32" s="77"/>
      <c r="E32" s="77"/>
      <c r="F32" s="77"/>
      <c r="G32" s="110" t="str">
        <f>"Fonction " &amp; D1</f>
        <v xml:space="preserve">Fonction </v>
      </c>
      <c r="H32" s="111"/>
      <c r="I32" s="112"/>
      <c r="J32" s="112"/>
      <c r="K32" s="112"/>
      <c r="L32" s="112"/>
      <c r="M32" s="112"/>
      <c r="N32" s="112"/>
      <c r="O32" s="112"/>
      <c r="P32" s="112"/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2"/>
      <c r="AJ32" s="112"/>
      <c r="AK32" s="112"/>
      <c r="AL32" s="113"/>
    </row>
    <row r="33" spans="2:38" x14ac:dyDescent="0.3">
      <c r="C33" s="76"/>
      <c r="D33" s="76"/>
      <c r="E33" s="76"/>
      <c r="F33" s="76"/>
      <c r="G33" s="97" t="s">
        <v>96</v>
      </c>
      <c r="H33" s="94">
        <f t="shared" si="2"/>
        <v>0</v>
      </c>
      <c r="I33" s="58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8"/>
      <c r="AK33" s="68"/>
      <c r="AL33" s="74"/>
    </row>
    <row r="34" spans="2:38" x14ac:dyDescent="0.3">
      <c r="C34" s="76"/>
      <c r="D34" s="76"/>
      <c r="E34" s="76"/>
      <c r="F34" s="76"/>
      <c r="G34" s="98" t="s">
        <v>14</v>
      </c>
      <c r="H34" s="99">
        <f t="shared" si="2"/>
        <v>0</v>
      </c>
      <c r="I34" s="53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0"/>
      <c r="AI34" s="60"/>
      <c r="AJ34" s="60"/>
      <c r="AK34" s="60"/>
      <c r="AL34" s="54"/>
    </row>
    <row r="35" spans="2:38" x14ac:dyDescent="0.3">
      <c r="C35" s="76"/>
      <c r="D35" s="76"/>
      <c r="E35" s="76"/>
      <c r="F35" s="76"/>
      <c r="G35" s="98" t="s">
        <v>15</v>
      </c>
      <c r="H35" s="99">
        <f t="shared" si="2"/>
        <v>0</v>
      </c>
      <c r="I35" s="53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  <c r="AK35" s="60"/>
      <c r="AL35" s="54"/>
    </row>
    <row r="36" spans="2:38" x14ac:dyDescent="0.3">
      <c r="C36" s="76"/>
      <c r="D36" s="76"/>
      <c r="E36" s="76"/>
      <c r="F36" s="76"/>
      <c r="G36" s="98" t="s">
        <v>4</v>
      </c>
      <c r="H36" s="99">
        <f t="shared" si="2"/>
        <v>0</v>
      </c>
      <c r="I36" s="53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54"/>
    </row>
    <row r="37" spans="2:38" x14ac:dyDescent="0.3">
      <c r="C37" s="76"/>
      <c r="D37" s="76"/>
      <c r="E37" s="76"/>
      <c r="F37" s="76"/>
      <c r="G37" s="98" t="s">
        <v>12</v>
      </c>
      <c r="H37" s="99">
        <f t="shared" si="2"/>
        <v>0</v>
      </c>
      <c r="I37" s="53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0"/>
      <c r="AK37" s="60"/>
      <c r="AL37" s="54"/>
    </row>
    <row r="38" spans="2:38" x14ac:dyDescent="0.3">
      <c r="C38" s="76"/>
      <c r="D38" s="76"/>
      <c r="E38" s="76"/>
      <c r="F38" s="76"/>
      <c r="G38" s="98" t="s">
        <v>104</v>
      </c>
      <c r="H38" s="99">
        <f t="shared" si="2"/>
        <v>0</v>
      </c>
      <c r="I38" s="53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0"/>
      <c r="AK38" s="60"/>
      <c r="AL38" s="54"/>
    </row>
    <row r="39" spans="2:38" ht="15" thickBot="1" x14ac:dyDescent="0.35">
      <c r="C39" s="76"/>
      <c r="D39" s="76"/>
      <c r="E39" s="76"/>
      <c r="F39" s="76"/>
      <c r="G39" s="100" t="s">
        <v>105</v>
      </c>
      <c r="H39" s="95">
        <f t="shared" si="2"/>
        <v>0</v>
      </c>
      <c r="I39" s="53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0"/>
      <c r="AJ39" s="60"/>
      <c r="AK39" s="60"/>
      <c r="AL39" s="54"/>
    </row>
    <row r="40" spans="2:38" ht="29.4" thickBot="1" x14ac:dyDescent="0.35">
      <c r="B40" s="78"/>
      <c r="C40" s="78"/>
      <c r="D40" s="78"/>
      <c r="E40" s="78"/>
      <c r="F40" s="78"/>
      <c r="G40" s="114" t="s">
        <v>110</v>
      </c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116"/>
      <c r="AA40" s="116"/>
      <c r="AB40" s="116"/>
      <c r="AC40" s="116"/>
      <c r="AD40" s="116"/>
      <c r="AE40" s="116"/>
      <c r="AF40" s="116"/>
      <c r="AG40" s="116"/>
      <c r="AH40" s="116"/>
      <c r="AI40" s="116"/>
      <c r="AJ40" s="116"/>
      <c r="AK40" s="116"/>
      <c r="AL40" s="117"/>
    </row>
    <row r="41" spans="2:38" x14ac:dyDescent="0.3">
      <c r="C41" s="76"/>
      <c r="D41" s="76"/>
      <c r="E41" s="76"/>
      <c r="F41" s="76"/>
      <c r="G41" s="97" t="s">
        <v>96</v>
      </c>
      <c r="H41" s="94">
        <f t="shared" si="2"/>
        <v>0</v>
      </c>
      <c r="I41" s="58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K41" s="68"/>
      <c r="AL41" s="74"/>
    </row>
    <row r="42" spans="2:38" x14ac:dyDescent="0.3">
      <c r="C42" s="76"/>
      <c r="D42" s="76"/>
      <c r="E42" s="76"/>
      <c r="F42" s="76"/>
      <c r="G42" s="98" t="s">
        <v>14</v>
      </c>
      <c r="H42" s="99">
        <f t="shared" si="2"/>
        <v>0</v>
      </c>
      <c r="I42" s="53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54"/>
    </row>
    <row r="43" spans="2:38" x14ac:dyDescent="0.3">
      <c r="C43" s="76"/>
      <c r="D43" s="76"/>
      <c r="E43" s="76"/>
      <c r="F43" s="76"/>
      <c r="G43" s="98" t="s">
        <v>15</v>
      </c>
      <c r="H43" s="99">
        <f t="shared" si="2"/>
        <v>0</v>
      </c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54"/>
    </row>
    <row r="44" spans="2:38" x14ac:dyDescent="0.3">
      <c r="C44" s="76"/>
      <c r="D44" s="76"/>
      <c r="E44" s="76"/>
      <c r="F44" s="76"/>
      <c r="G44" s="98" t="s">
        <v>4</v>
      </c>
      <c r="H44" s="99">
        <f t="shared" si="2"/>
        <v>0</v>
      </c>
      <c r="I44" s="53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60"/>
      <c r="V44" s="60"/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54"/>
    </row>
    <row r="45" spans="2:38" x14ac:dyDescent="0.3">
      <c r="C45" s="76"/>
      <c r="D45" s="76"/>
      <c r="E45" s="76"/>
      <c r="F45" s="76"/>
      <c r="G45" s="98" t="s">
        <v>12</v>
      </c>
      <c r="H45" s="99">
        <f t="shared" si="2"/>
        <v>0</v>
      </c>
      <c r="I45" s="53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54"/>
    </row>
    <row r="46" spans="2:38" x14ac:dyDescent="0.3">
      <c r="C46" s="76"/>
      <c r="D46" s="76"/>
      <c r="E46" s="76"/>
      <c r="F46" s="76"/>
      <c r="G46" s="98" t="s">
        <v>104</v>
      </c>
      <c r="H46" s="99">
        <f t="shared" si="2"/>
        <v>0</v>
      </c>
      <c r="I46" s="53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54"/>
    </row>
    <row r="47" spans="2:38" ht="15" thickBot="1" x14ac:dyDescent="0.35">
      <c r="C47" s="76"/>
      <c r="D47" s="76"/>
      <c r="E47" s="76"/>
      <c r="F47" s="76"/>
      <c r="G47" s="100" t="s">
        <v>105</v>
      </c>
      <c r="H47" s="95">
        <f t="shared" si="2"/>
        <v>0</v>
      </c>
      <c r="I47" s="49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  <c r="AI47" s="75"/>
      <c r="AJ47" s="75"/>
      <c r="AK47" s="75"/>
      <c r="AL47" s="55"/>
    </row>
    <row r="49" spans="2:13" ht="15" thickBot="1" x14ac:dyDescent="0.35"/>
    <row r="50" spans="2:13" ht="25.05" customHeight="1" x14ac:dyDescent="0.3">
      <c r="B50" s="76"/>
      <c r="C50" s="134" t="s">
        <v>112</v>
      </c>
      <c r="D50" s="135"/>
      <c r="E50" s="134" t="s">
        <v>98</v>
      </c>
      <c r="F50" s="135"/>
      <c r="G50" s="76"/>
      <c r="H50" s="76"/>
    </row>
    <row r="51" spans="2:13" ht="25.05" customHeight="1" thickBot="1" x14ac:dyDescent="0.35">
      <c r="B51" s="57"/>
      <c r="C51" s="119">
        <f>SUM(C4:C31)</f>
        <v>7513.5</v>
      </c>
      <c r="D51" s="120"/>
      <c r="E51" s="119">
        <f>SUM(H4:H31)</f>
        <v>0</v>
      </c>
      <c r="F51" s="120"/>
      <c r="G51" s="57"/>
      <c r="H51" s="57"/>
    </row>
    <row r="52" spans="2:13" x14ac:dyDescent="0.3">
      <c r="B52" s="57"/>
      <c r="C52" s="57"/>
      <c r="D52" s="57"/>
      <c r="E52" s="57"/>
      <c r="F52" s="57"/>
      <c r="G52" s="57"/>
      <c r="H52" s="57"/>
      <c r="I52" s="79"/>
    </row>
    <row r="53" spans="2:13" x14ac:dyDescent="0.3">
      <c r="B53" s="57"/>
      <c r="I53" s="80"/>
      <c r="J53" s="80"/>
      <c r="K53" s="80"/>
      <c r="L53" s="80"/>
      <c r="M53" s="80"/>
    </row>
    <row r="54" spans="2:13" x14ac:dyDescent="0.3">
      <c r="B54" s="57"/>
      <c r="C54" s="80"/>
      <c r="D54" s="118"/>
      <c r="E54" s="118"/>
      <c r="I54" s="81"/>
      <c r="J54" s="81"/>
      <c r="K54" s="81"/>
      <c r="L54" s="81"/>
      <c r="M54" s="81"/>
    </row>
    <row r="55" spans="2:13" x14ac:dyDescent="0.3">
      <c r="B55" s="57"/>
      <c r="C55" s="101"/>
      <c r="D55" s="109"/>
      <c r="E55" s="109"/>
      <c r="I55" s="81"/>
      <c r="J55" s="81"/>
      <c r="K55" s="81"/>
      <c r="L55" s="81"/>
      <c r="M55" s="81"/>
    </row>
    <row r="56" spans="2:13" x14ac:dyDescent="0.3">
      <c r="B56" s="57"/>
      <c r="C56" s="57"/>
      <c r="D56" s="57"/>
      <c r="E56" s="57"/>
      <c r="F56" s="57"/>
      <c r="G56" s="57"/>
      <c r="H56" s="57"/>
    </row>
    <row r="57" spans="2:13" x14ac:dyDescent="0.3">
      <c r="B57" s="57"/>
      <c r="C57" s="57"/>
      <c r="D57" s="57"/>
      <c r="E57" s="57"/>
      <c r="F57" s="57"/>
      <c r="G57" s="57"/>
      <c r="H57" s="57"/>
    </row>
    <row r="58" spans="2:13" x14ac:dyDescent="0.3">
      <c r="B58" s="57"/>
      <c r="C58" s="57"/>
      <c r="D58" s="57"/>
      <c r="E58" s="57"/>
      <c r="F58" s="57"/>
      <c r="G58" s="57"/>
      <c r="H58" s="57"/>
    </row>
  </sheetData>
  <mergeCells count="24">
    <mergeCell ref="D55:E55"/>
    <mergeCell ref="G32:AL32"/>
    <mergeCell ref="G40:AL40"/>
    <mergeCell ref="F30:F31"/>
    <mergeCell ref="F22:F23"/>
    <mergeCell ref="F24:F25"/>
    <mergeCell ref="F26:F27"/>
    <mergeCell ref="F28:F29"/>
    <mergeCell ref="D54:E54"/>
    <mergeCell ref="C50:D50"/>
    <mergeCell ref="E50:F50"/>
    <mergeCell ref="C51:D51"/>
    <mergeCell ref="E51:F51"/>
    <mergeCell ref="F20:F21"/>
    <mergeCell ref="F10:F11"/>
    <mergeCell ref="F12:F13"/>
    <mergeCell ref="F14:F15"/>
    <mergeCell ref="F16:F17"/>
    <mergeCell ref="F18:F19"/>
    <mergeCell ref="F6:F7"/>
    <mergeCell ref="F8:F9"/>
    <mergeCell ref="G2:AL2"/>
    <mergeCell ref="F4:F5"/>
    <mergeCell ref="D1:E1"/>
  </mergeCells>
  <conditionalFormatting sqref="E4:F31">
    <cfRule type="dataBar" priority="29">
      <dataBar>
        <cfvo type="num" val="0"/>
        <cfvo type="num" val="100%"/>
        <color rgb="FFD2E9FA"/>
      </dataBar>
      <extLst>
        <ext xmlns:x14="http://schemas.microsoft.com/office/spreadsheetml/2009/9/main" uri="{B025F937-C7B1-47D3-B67F-A62EFF666E3E}">
          <x14:id>{AF7D454A-88D0-4B76-900F-EE979479C8C9}</x14:id>
        </ext>
      </extLst>
    </cfRule>
  </conditionalFormatting>
  <conditionalFormatting sqref="I41:T47">
    <cfRule type="cellIs" dxfId="5" priority="22" operator="notEqual">
      <formula>0</formula>
    </cfRule>
  </conditionalFormatting>
  <conditionalFormatting sqref="I33:T39">
    <cfRule type="cellIs" dxfId="4" priority="19" operator="notEqual">
      <formula>0</formula>
    </cfRule>
  </conditionalFormatting>
  <conditionalFormatting sqref="I4:AL31">
    <cfRule type="cellIs" dxfId="3" priority="3" operator="notEqual">
      <formula>0</formula>
    </cfRule>
  </conditionalFormatting>
  <conditionalFormatting sqref="I54:M55">
    <cfRule type="dataBar" priority="16">
      <dataBar>
        <cfvo type="num" val="0"/>
        <cfvo type="num" val="100%"/>
        <color rgb="FFCCCCFF"/>
      </dataBar>
      <extLst>
        <ext xmlns:x14="http://schemas.microsoft.com/office/spreadsheetml/2009/9/main" uri="{B025F937-C7B1-47D3-B67F-A62EFF666E3E}">
          <x14:id>{F3D99891-1766-424F-B959-F3DDD4258A83}</x14:id>
        </ext>
      </extLst>
    </cfRule>
  </conditionalFormatting>
  <conditionalFormatting sqref="H4:H31">
    <cfRule type="cellIs" dxfId="2" priority="15" operator="notEqual">
      <formula>0</formula>
    </cfRule>
  </conditionalFormatting>
  <conditionalFormatting sqref="D4:D31">
    <cfRule type="colorScale" priority="44">
      <colorScale>
        <cfvo type="num" val="0"/>
        <cfvo type="num" val="40"/>
        <color rgb="FF00B050"/>
        <color rgb="FFFF0000"/>
      </colorScale>
    </cfRule>
    <cfRule type="colorScale" priority="45">
      <colorScale>
        <cfvo type="num" val="0"/>
        <cfvo type="num" val="500"/>
        <color rgb="FF92D050"/>
        <color rgb="FFFFEF9C"/>
      </colorScale>
    </cfRule>
    <cfRule type="colorScale" priority="46">
      <colorScale>
        <cfvo type="min"/>
        <cfvo type="max"/>
        <color rgb="FF00B050"/>
        <color rgb="FFFF0000"/>
      </colorScale>
    </cfRule>
    <cfRule type="colorScale" priority="47">
      <colorScale>
        <cfvo type="min"/>
        <cfvo type="percentile" val="25"/>
        <cfvo type="max"/>
        <color rgb="FF00B050"/>
        <color rgb="FFFFEB84"/>
        <color rgb="FFFF0000"/>
      </colorScale>
    </cfRule>
  </conditionalFormatting>
  <conditionalFormatting sqref="E4:E31">
    <cfRule type="colorScale" priority="48">
      <colorScale>
        <cfvo type="formula" val="1"/>
        <cfvo type="formula" val="1.1"/>
        <cfvo type="formula" val="1.25"/>
        <color rgb="FF00B050"/>
        <color rgb="FFFFC000"/>
        <color rgb="FFFF0000"/>
      </colorScale>
    </cfRule>
    <cfRule type="colorScale" priority="49">
      <colorScale>
        <cfvo type="formula" val="0"/>
        <cfvo type="percent" val="1.5"/>
        <color rgb="FF92D050"/>
        <color rgb="FFFF0000"/>
      </colorScale>
    </cfRule>
  </conditionalFormatting>
  <conditionalFormatting sqref="H33:H39">
    <cfRule type="cellIs" dxfId="1" priority="2" operator="notEqual">
      <formula>0</formula>
    </cfRule>
  </conditionalFormatting>
  <conditionalFormatting sqref="H41:H47">
    <cfRule type="cellIs" dxfId="0" priority="1" operator="not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euil56.UpdateBilanFromFiles">
                <anchor moveWithCells="1" sizeWithCells="1">
                  <from>
                    <xdr:col>0</xdr:col>
                    <xdr:colOff>91440</xdr:colOff>
                    <xdr:row>2</xdr:row>
                    <xdr:rowOff>190500</xdr:rowOff>
                  </from>
                  <to>
                    <xdr:col>1</xdr:col>
                    <xdr:colOff>830580</xdr:colOff>
                    <xdr:row>30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7D454A-88D0-4B76-900F-EE979479C8C9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E4:F31</xm:sqref>
        </x14:conditionalFormatting>
        <x14:conditionalFormatting xmlns:xm="http://schemas.microsoft.com/office/excel/2006/main">
          <x14:cfRule type="dataBar" id="{F3D99891-1766-424F-B959-F3DDD4258A83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I54:M55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64C31-A80C-47BE-9ABF-7EF2C2373A22}">
  <sheetPr codeName="Feuil2"/>
  <dimension ref="B6"/>
  <sheetViews>
    <sheetView workbookViewId="0">
      <selection activeCell="G12" sqref="G12"/>
    </sheetView>
  </sheetViews>
  <sheetFormatPr baseColWidth="10" defaultRowHeight="14.4" x14ac:dyDescent="0.3"/>
  <sheetData>
    <row r="6" spans="2:2" x14ac:dyDescent="0.3">
      <c r="B6" t="s">
        <v>103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Feuil4"/>
  <dimension ref="A1:M56"/>
  <sheetViews>
    <sheetView topLeftCell="A4" workbookViewId="0">
      <selection activeCell="A11" sqref="A11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17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23"/>
      <c r="M47" s="124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sheetProtection selectLockedCells="1"/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A11:A33" xr:uid="{2C03B7F5-247D-4C88-8D90-D834E35AF196}">
      <formula1>#REF!</formula1>
    </dataValidation>
    <dataValidation type="list" allowBlank="1" showInputMessage="1" showErrorMessage="1" sqref="B11:D33" xr:uid="{BE35DC83-FF79-494F-93BA-D06B22D886AC}">
      <formula1>#REF!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Feuil5"/>
  <dimension ref="A1:M56"/>
  <sheetViews>
    <sheetView topLeftCell="A15" zoomScaleNormal="100"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16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C7CF094A-3EFB-4E83-BAB7-0A43812A67F4}">
      <formula1>#REF!</formula1>
    </dataValidation>
    <dataValidation type="list" allowBlank="1" showInputMessage="1" showErrorMessage="1" sqref="D11:D33 A11:B33" xr:uid="{5CD0FBA5-A6E7-44F0-9433-7815F3205A48}">
      <formula1>#REF!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Feuil6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18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D5E0C048-4670-4837-8E21-B68D81C95CE9}">
      <formula1>#REF!</formula1>
    </dataValidation>
    <dataValidation type="list" allowBlank="1" showInputMessage="1" showErrorMessage="1" sqref="D11:D33 A11:B33" xr:uid="{0FC3FE98-22D2-4C81-8CBE-DF911B7A8CC0}">
      <formula1>#REF!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Feuil7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19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46" t="s">
        <v>96</v>
      </c>
      <c r="M40" s="47">
        <f>SUMIFS($J$11:$J$33,$A$11:$A$33,"=CMN",$B$11:$B$33,"=FORMATION")</f>
        <v>0</v>
      </c>
    </row>
    <row r="41" spans="1:13" x14ac:dyDescent="0.3">
      <c r="L41" s="10" t="s">
        <v>14</v>
      </c>
      <c r="M41" s="11">
        <f>SUMIFS($J$11:$J$33,$A$11:$A$33,"=CMN",$B$11:$B$33,"=GESTION PROJET")</f>
        <v>0</v>
      </c>
    </row>
    <row r="42" spans="1:13" x14ac:dyDescent="0.3">
      <c r="L42" s="10" t="s">
        <v>15</v>
      </c>
      <c r="M42" s="11">
        <f>SUMIFS($J$11:$J$33,$A$11:$A$33,"=CMN",$B$11:$B$33,"=REUNION")</f>
        <v>0</v>
      </c>
    </row>
    <row r="43" spans="1:13" x14ac:dyDescent="0.3">
      <c r="L43" s="10" t="s">
        <v>101</v>
      </c>
      <c r="M43" s="11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46" t="s">
        <v>96</v>
      </c>
      <c r="M50" s="47">
        <f>SUMIFS($J$11:$J$33,$A$11:$A$33,"=AUTRE",$B$11:$B$33,"=FORMATION")</f>
        <v>0</v>
      </c>
    </row>
    <row r="51" spans="12:13" x14ac:dyDescent="0.3">
      <c r="L51" s="10" t="s">
        <v>14</v>
      </c>
      <c r="M51" s="11">
        <f>SUMIFS($J$11:$J$33,$A$11:$A$33,"=AUTRE",$B$11:$B$33,"=GESTION PROJET")</f>
        <v>0</v>
      </c>
    </row>
    <row r="52" spans="12:13" x14ac:dyDescent="0.3">
      <c r="L52" s="10" t="s">
        <v>15</v>
      </c>
      <c r="M52" s="11">
        <f>SUMIFS($J$11:$J$33,$A$11:$A$33,"=AUTRE",$B$11:$B$33,"=REUNION")</f>
        <v>0</v>
      </c>
    </row>
    <row r="53" spans="12:13" x14ac:dyDescent="0.3">
      <c r="L53" s="10" t="s">
        <v>101</v>
      </c>
      <c r="M53" s="11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69DD3849-049F-49CE-BCF1-EAB7E6BC35D8}">
      <formula1>#REF!</formula1>
    </dataValidation>
    <dataValidation type="list" allowBlank="1" showInputMessage="1" showErrorMessage="1" sqref="D11:D33 A11:B33" xr:uid="{368307C9-C40C-43DF-939E-06A981BE69AB}">
      <formula1>#REF!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Feuil8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20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D45E41DD-D35F-49DD-8DA6-5918B557663A}">
      <formula1>#REF!</formula1>
    </dataValidation>
    <dataValidation type="list" allowBlank="1" showInputMessage="1" showErrorMessage="1" sqref="D11:D33 A11:B33" xr:uid="{75637153-0895-4CDA-B7A8-9BAA17102EF8}">
      <formula1>#REF!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Feuil9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21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9453EFD3-4473-43F8-9F94-71D8B9B2A999}">
      <formula1>#REF!</formula1>
    </dataValidation>
    <dataValidation type="list" allowBlank="1" showInputMessage="1" showErrorMessage="1" sqref="D11:D33 A11:B33" xr:uid="{607A7B33-0615-4744-B8F9-F2ED15E5AD6E}">
      <formula1>#REF!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Feuil10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22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57C4F0F4-DA9A-4E6D-9853-798D84446BC3}">
      <formula1>#REF!</formula1>
    </dataValidation>
    <dataValidation type="list" allowBlank="1" showInputMessage="1" showErrorMessage="1" sqref="D11:D33 A11:B33" xr:uid="{72645C7C-36C4-45BD-8717-9BDA9480B37D}">
      <formula1>#REF!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Feuil11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23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639EF9AA-12FB-4DBD-A986-E4E9D52C7DE9}">
      <formula1>#REF!</formula1>
    </dataValidation>
    <dataValidation type="list" allowBlank="1" showInputMessage="1" showErrorMessage="1" sqref="D11:D33 A11:B33" xr:uid="{2A8B1428-0CE1-4310-B165-0C71C4931EB8}">
      <formula1>#REF!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Feuil12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24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14D8BE0E-4C4F-4B47-A916-595728EEF1FF}">
      <formula1>#REF!</formula1>
    </dataValidation>
    <dataValidation type="list" allowBlank="1" showInputMessage="1" showErrorMessage="1" sqref="D11:D33 A11:B33" xr:uid="{530959E2-7C72-4E51-A6DF-E24ED0A9E7DC}">
      <formula1>#REF!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Feuil13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25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4FC286D2-E30E-4161-8128-6AB19F0F2FFD}">
      <formula1>#REF!</formula1>
    </dataValidation>
    <dataValidation type="list" allowBlank="1" showInputMessage="1" showErrorMessage="1" sqref="D11:D33 A11:B33" xr:uid="{168D5D2D-8C9E-4C1A-960C-CFA8A583E2A1}">
      <formula1>#REF!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Feuil14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26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F0EC98F2-6B8A-4F64-8412-6F2C4708A438}">
      <formula1>#REF!</formula1>
    </dataValidation>
    <dataValidation type="list" allowBlank="1" showInputMessage="1" showErrorMessage="1" sqref="D11:D33 A11:B33" xr:uid="{4F8B7F57-AAEE-40A4-B878-788FF7257656}">
      <formula1>#REF!</formula1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Feuil15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27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08FA31EE-A592-40E3-8FCD-B86DC657040C}">
      <formula1>#REF!</formula1>
    </dataValidation>
    <dataValidation type="list" allowBlank="1" showInputMessage="1" showErrorMessage="1" sqref="D11:D33 A11:B33" xr:uid="{E7AAB687-A9B3-4008-97C9-1EA24DB5B847}">
      <formula1>#REF!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FC112-9025-4CAB-93DB-51B7CF308F96}">
  <sheetPr codeName="Feuil16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28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EF2A3DA2-C819-4838-BB12-859A058193B7}">
      <formula1>#REF!</formula1>
    </dataValidation>
    <dataValidation type="list" allowBlank="1" showInputMessage="1" showErrorMessage="1" sqref="D11:D33 A11:B33" xr:uid="{F2739F7F-F2F6-4511-8D14-1BA8ECA0100B}">
      <formula1>#REF!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A7822-4C95-424B-BB33-B3493B938888}">
  <sheetPr codeName="Feuil17"/>
  <dimension ref="A1:M56"/>
  <sheetViews>
    <sheetView topLeftCell="A6"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29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938F99E4-B5B4-41E0-9D30-80918C2C2C1F}">
      <formula1>#REF!</formula1>
    </dataValidation>
    <dataValidation type="list" allowBlank="1" showInputMessage="1" showErrorMessage="1" sqref="D11:D33 A11:B33" xr:uid="{CFDE9C44-947F-4D25-BF4F-6B4A86BD7B4F}">
      <formula1>#REF!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5AE76-910E-43BE-A50A-004771CF5C86}">
  <sheetPr codeName="Feuil18"/>
  <dimension ref="A1:M56"/>
  <sheetViews>
    <sheetView topLeftCell="B1"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30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4F8E9976-EE60-4E1F-BA43-A49DAF2F16B3}">
      <formula1>#REF!</formula1>
    </dataValidation>
    <dataValidation type="list" allowBlank="1" showInputMessage="1" showErrorMessage="1" sqref="D11:D33 A11:B33" xr:uid="{D86DC12C-9859-49FF-A8EB-B4C9737BE190}">
      <formula1>#REF!</formula1>
    </dataValidation>
  </dataValidation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B1A75-BA0B-4FCF-9BC0-437C702DF70A}">
  <sheetPr codeName="Feuil19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31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E6D5929E-5084-4D81-85F7-BB536C6804CD}">
      <formula1>#REF!</formula1>
    </dataValidation>
    <dataValidation type="list" allowBlank="1" showInputMessage="1" showErrorMessage="1" sqref="D11:D33 A11:B33" xr:uid="{F59B694F-815D-434F-8319-F5F9DED9E223}">
      <formula1>#REF!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BC21E-B658-4F60-939B-95DCB05D9906}">
  <sheetPr codeName="Feuil20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33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0CD3F53B-741D-419B-9AFF-A451228B686F}">
      <formula1>#REF!</formula1>
    </dataValidation>
    <dataValidation type="list" allowBlank="1" showInputMessage="1" showErrorMessage="1" sqref="D11:D33 A11:B33" xr:uid="{5D805DE6-7A9C-4535-AD44-962BC0CB38FF}">
      <formula1>#REF!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37E2B-C0E9-4F98-92A7-A4882BECC8D1}">
  <sheetPr codeName="Feuil21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32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90DBCF52-5CB5-4555-A0D8-DBD510143DDD}">
      <formula1>#REF!</formula1>
    </dataValidation>
    <dataValidation type="list" allowBlank="1" showInputMessage="1" showErrorMessage="1" sqref="D11:D33 A11:B33" xr:uid="{2B201676-2D31-4A11-BB34-7B0A86CBEB41}">
      <formula1>#REF!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1A72-C8E8-4D06-A38F-897742F45AFA}">
  <sheetPr codeName="Feuil22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34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3CC7A0EC-BA62-4F65-804F-D2A7FE026408}">
      <formula1>#REF!</formula1>
    </dataValidation>
    <dataValidation type="list" allowBlank="1" showInputMessage="1" showErrorMessage="1" sqref="D11:D33 A11:B33" xr:uid="{1EF90EB4-1CE0-4D4D-BAF7-0A8574C5B56A}">
      <formula1>#REF!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A7B22-F1A6-4C18-B2A5-B0B508DEE799}">
  <sheetPr codeName="Feuil23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36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299339BF-0493-43A1-9E5D-207BD01F15F8}">
      <formula1>#REF!</formula1>
    </dataValidation>
    <dataValidation type="list" allowBlank="1" showInputMessage="1" showErrorMessage="1" sqref="D11:D33 A11:B33" xr:uid="{067E079A-D86B-4B9D-AB7A-B343DBF9DA84}">
      <formula1>#REF!</formula1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0723D-9612-4CD0-BB86-F1965B978EB9}">
  <sheetPr codeName="Feuil24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35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6C95D109-F0FA-4970-9D3B-0EF54D368C76}">
      <formula1>#REF!</formula1>
    </dataValidation>
    <dataValidation type="list" allowBlank="1" showInputMessage="1" showErrorMessage="1" sqref="D11:D33 A11:B33" xr:uid="{7D415A2D-0551-4548-905C-02A0DC7F2D4A}">
      <formula1>#REF!</formula1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91072-D256-4B6F-B61A-AB5B92C83A14}">
  <sheetPr codeName="Feuil25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37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E18BC09E-73DD-4A97-AA71-898A53DB9054}">
      <formula1>#REF!</formula1>
    </dataValidation>
    <dataValidation type="list" allowBlank="1" showInputMessage="1" showErrorMessage="1" sqref="D11:D33 A11:B33" xr:uid="{3E573272-EB81-4966-87A5-CCA941AFF1A4}">
      <formula1>#REF!</formula1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F8E54-3ABB-4154-8CC3-8BF4AB1A61AF}">
  <sheetPr codeName="Feuil26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38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653CD1C7-FAFF-4791-A495-459FDA141A38}">
      <formula1>#REF!</formula1>
    </dataValidation>
    <dataValidation type="list" allowBlank="1" showInputMessage="1" showErrorMessage="1" sqref="D11:D33 A11:B33" xr:uid="{A50B6B61-6780-4790-8B19-DC35547B85A4}">
      <formula1>#REF!</formula1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357F3-ADDB-4AFD-8988-A6F0A091E8FD}">
  <sheetPr codeName="Feuil27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39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74F060EA-E671-407A-A773-A878385D2DA2}">
      <formula1>#REF!</formula1>
    </dataValidation>
    <dataValidation type="list" allowBlank="1" showInputMessage="1" showErrorMessage="1" sqref="D11:D33 A11:B33" xr:uid="{2C65CDD8-AE6A-4AF2-B3D2-66E9BA4A227D}">
      <formula1>#REF!</formula1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6AB2-D6C8-46A5-8CF6-9D91F0F3B3EA}">
  <sheetPr codeName="Feuil28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40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00D8922E-E438-41E4-9508-5EAA8A7A8871}">
      <formula1>#REF!</formula1>
    </dataValidation>
    <dataValidation type="list" allowBlank="1" showInputMessage="1" showErrorMessage="1" sqref="D11:D33 A11:B33" xr:uid="{4CDD1BB1-C2CB-4951-8BA9-50AAAA139921}">
      <formula1>#REF!</formula1>
    </dataValidation>
  </dataValidation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C40E6-488D-432A-9CE7-BF70668EA46C}">
  <sheetPr codeName="Feuil29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41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A8A110B6-EAD4-4E6D-B415-C2B2BD579468}">
      <formula1>#REF!</formula1>
    </dataValidation>
    <dataValidation type="list" allowBlank="1" showInputMessage="1" showErrorMessage="1" sqref="D11:D33 A11:B33" xr:uid="{CEB7E90A-97A5-4483-AA05-649C3858A49E}">
      <formula1>#REF!</formula1>
    </dataValidation>
  </dataValidation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B1DBE-7DBB-43B4-98EB-4FA7838AE992}">
  <sheetPr codeName="Feuil30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42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7491E583-38A3-43FD-9C34-EBBB84673364}">
      <formula1>#REF!</formula1>
    </dataValidation>
    <dataValidation type="list" allowBlank="1" showInputMessage="1" showErrorMessage="1" sqref="D11:D33 A11:B33" xr:uid="{C6BA2B90-AD14-4C06-8A90-0E58AAA8E8EB}">
      <formula1>#REF!</formula1>
    </dataValidation>
  </dataValidation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0FB3A-9B45-44BF-B360-7A417CD4ACD5}">
  <sheetPr codeName="Feuil31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43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E311CDCB-FB9D-4363-839D-4C0E079B386F}">
      <formula1>#REF!</formula1>
    </dataValidation>
    <dataValidation type="list" allowBlank="1" showInputMessage="1" showErrorMessage="1" sqref="D11:D33 A11:B33" xr:uid="{B4CA8A01-BD9D-416E-BA6B-57CB1FC53993}">
      <formula1>#REF!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4D647-3220-45BC-B07E-053EBC29E1F1}">
  <sheetPr codeName="Feuil32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44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DB945701-6D4D-4627-A96A-B43C9572A25F}">
      <formula1>#REF!</formula1>
    </dataValidation>
    <dataValidation type="list" allowBlank="1" showInputMessage="1" showErrorMessage="1" sqref="D11:D33 A11:B33" xr:uid="{AA1DDF0E-A295-4FCB-9190-831F5ACC8886}">
      <formula1>#REF!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8B85-5AF0-4464-922A-E4B5D4951B82}">
  <sheetPr codeName="Feuil33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45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6BBF66BE-853F-4D18-9EAD-735412D3E212}">
      <formula1>#REF!</formula1>
    </dataValidation>
    <dataValidation type="list" allowBlank="1" showInputMessage="1" showErrorMessage="1" sqref="D11:D33 A11:B33" xr:uid="{989F0A29-EED0-4909-900D-38F24B0BB648}">
      <formula1>#REF!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B9EC9-236A-4574-8E6B-18B4352D6794}">
  <sheetPr codeName="Feuil34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46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29A52F64-2FE8-4168-9411-9676AE437F28}">
      <formula1>#REF!</formula1>
    </dataValidation>
    <dataValidation type="list" allowBlank="1" showInputMessage="1" showErrorMessage="1" sqref="D11:D33 A11:B33" xr:uid="{1CA16284-DAB9-4E71-AA0F-52B1CB5A7867}">
      <formula1>#REF!</formula1>
    </dataValidation>
  </dataValidations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817AF-F5A1-4DF3-A13D-5F0A109D175F}">
  <sheetPr codeName="Feuil35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47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5100AF09-64AF-431A-A780-A2201EF5F971}">
      <formula1>#REF!</formula1>
    </dataValidation>
    <dataValidation type="list" allowBlank="1" showInputMessage="1" showErrorMessage="1" sqref="D11:D33 A11:B33" xr:uid="{6217B748-851D-4C9D-8752-4EE1C8F33F6E}">
      <formula1>#REF!</formula1>
    </dataValidation>
  </dataValidation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E9C49-2E81-4158-B79F-D986A3AEA838}">
  <sheetPr codeName="Feuil36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48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351A7189-E93C-4800-9B43-751955E73CB3}">
      <formula1>#REF!</formula1>
    </dataValidation>
    <dataValidation type="list" allowBlank="1" showInputMessage="1" showErrorMessage="1" sqref="D11:D33 A11:B33" xr:uid="{345AF76C-3B38-4FC0-AFD9-852067EF43D4}">
      <formula1>#REF!</formula1>
    </dataValidation>
  </dataValidations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C0C7A-BF8B-4BDA-A300-858BC63A7A18}">
  <sheetPr codeName="Feuil37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49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5879E270-D0C6-4043-9CE6-E407C24045FD}">
      <formula1>#REF!</formula1>
    </dataValidation>
    <dataValidation type="list" allowBlank="1" showInputMessage="1" showErrorMessage="1" sqref="D11:D33 A11:B33" xr:uid="{EE2FC10D-5D10-47C1-9D83-C33F47191C0F}">
      <formula1>#REF!</formula1>
    </dataValidation>
  </dataValidation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D45D6-07C1-4C17-863A-5D9208C48DB4}">
  <sheetPr codeName="Feuil38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50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89FD95A4-1FB8-4AF2-8EC4-070807441AE3}">
      <formula1>#REF!</formula1>
    </dataValidation>
    <dataValidation type="list" allowBlank="1" showInputMessage="1" showErrorMessage="1" sqref="D11:D33 A11:B33" xr:uid="{3372E8D4-8B87-4D7B-BA1E-99C3F71197F4}">
      <formula1>#REF!</formula1>
    </dataValidation>
  </dataValidations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7BB70-6B47-4755-AE3A-5C6D8AEB9B86}">
  <sheetPr codeName="Feuil39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51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1B3B389D-61E2-4BB2-B452-A8D8E9FA1166}">
      <formula1>#REF!</formula1>
    </dataValidation>
    <dataValidation type="list" allowBlank="1" showInputMessage="1" showErrorMessage="1" sqref="D11:D33 A11:B33" xr:uid="{FE559E07-AF82-4F55-AE4C-70992C4C5EF5}">
      <formula1>#REF!</formula1>
    </dataValidation>
  </dataValidation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87579-4662-4112-8FE2-7FCFE7952B20}">
  <sheetPr codeName="Feuil40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52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1FD28A87-58A1-4A7E-91DF-60539FAFF328}">
      <formula1>#REF!</formula1>
    </dataValidation>
    <dataValidation type="list" allowBlank="1" showInputMessage="1" showErrorMessage="1" sqref="D11:D33 A11:B33" xr:uid="{15017CFA-BFCC-4CA8-A9C0-2387E9A00066}">
      <formula1>#REF!</formula1>
    </dataValidation>
  </dataValidations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964D5-5746-40D3-9E95-52F83EFD692D}">
  <sheetPr codeName="Feuil41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53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42F828E7-306F-443E-A0F9-612E04E16DF4}">
      <formula1>#REF!</formula1>
    </dataValidation>
    <dataValidation type="list" allowBlank="1" showInputMessage="1" showErrorMessage="1" sqref="D11:D33 A11:B33" xr:uid="{BEE33E7F-B219-482E-B96D-06A36198663D}">
      <formula1>#REF!</formula1>
    </dataValidation>
  </dataValidations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F67B1-2E72-477E-BA33-3B3DA2B9637B}">
  <sheetPr codeName="Feuil42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54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3F4D05AA-F65F-46B1-9C7C-3633A5882B77}">
      <formula1>#REF!</formula1>
    </dataValidation>
    <dataValidation type="list" allowBlank="1" showInputMessage="1" showErrorMessage="1" sqref="D11:D33 A11:B33" xr:uid="{BF5ED33E-5BF5-4715-A0BC-03FC3545C79D}">
      <formula1>#REF!</formula1>
    </dataValidation>
  </dataValidations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EF191-4CFC-44FF-8A44-8115D4AB48D1}">
  <sheetPr codeName="Feuil43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55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2A584A2F-7D24-4AA7-8310-994A717C3348}">
      <formula1>#REF!</formula1>
    </dataValidation>
    <dataValidation type="list" allowBlank="1" showInputMessage="1" showErrorMessage="1" sqref="D11:D33 A11:B33" xr:uid="{513DFE65-96F4-472D-9346-AD71886AAA0D}">
      <formula1>#REF!</formula1>
    </dataValidation>
  </dataValidations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A6A59-3925-4C07-895A-FB4EB91D8C00}">
  <sheetPr codeName="Feuil44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56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424F6E98-2890-405C-AC76-45F7F1632724}">
      <formula1>#REF!</formula1>
    </dataValidation>
    <dataValidation type="list" allowBlank="1" showInputMessage="1" showErrorMessage="1" sqref="D11:D33 A11:B33" xr:uid="{6BAB70E1-0FC5-4B54-8C8E-099B4DC6F16C}">
      <formula1>#REF!</formula1>
    </dataValidation>
  </dataValidations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FF120-9E76-4E84-8ABA-2556A3E7A66C}">
  <sheetPr codeName="Feuil45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57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3C7A8C0D-E7BA-44ED-AF41-E6C756E0EDBA}">
      <formula1>#REF!</formula1>
    </dataValidation>
    <dataValidation type="list" allowBlank="1" showInputMessage="1" showErrorMessage="1" sqref="D11:D33 A11:B33" xr:uid="{0A4091D5-CAF5-4EDD-855B-EB6CF1634E1C}">
      <formula1>#REF!</formula1>
    </dataValidation>
  </dataValidations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274E1-E905-41E3-9C8C-D409137B98A3}">
  <sheetPr codeName="Feuil46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58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29A24C96-D86B-4505-B81D-0658B7DA771C}">
      <formula1>#REF!</formula1>
    </dataValidation>
    <dataValidation type="list" allowBlank="1" showInputMessage="1" showErrorMessage="1" sqref="D11:D33 A11:B33" xr:uid="{B6046C41-D660-4E32-900C-0B0F8F3D3D99}">
      <formula1>#REF!</formula1>
    </dataValidation>
  </dataValidations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4F9A9-ACDC-40B7-865B-6D865FFB167E}">
  <sheetPr codeName="Feuil47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59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2C07600F-F70E-48B2-8B44-9A8B9A2D8978}">
      <formula1>#REF!</formula1>
    </dataValidation>
    <dataValidation type="list" allowBlank="1" showInputMessage="1" showErrorMessage="1" sqref="D11:D33 A11:B33" xr:uid="{22C28FF9-B4AB-467C-A722-5B1127BFD1B9}">
      <formula1>#REF!</formula1>
    </dataValidation>
  </dataValidations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0E719-9CCF-4EA1-9CCD-55323BD913E5}">
  <sheetPr codeName="Feuil48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60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32F0296C-D43F-445A-8E6D-EC9556224C7E}">
      <formula1>#REF!</formula1>
    </dataValidation>
    <dataValidation type="list" allowBlank="1" showInputMessage="1" showErrorMessage="1" sqref="D11:D33 A11:B33" xr:uid="{A9435A05-5F71-4710-B825-7F064DB92254}">
      <formula1>#REF!</formula1>
    </dataValidation>
  </dataValidations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BB0A2-AC47-41A0-ADBB-E0533CFCA337}">
  <sheetPr codeName="Feuil49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61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06350DFB-1168-45BB-98B3-EBBBC2F2CD0A}">
      <formula1>#REF!</formula1>
    </dataValidation>
    <dataValidation type="list" allowBlank="1" showInputMessage="1" showErrorMessage="1" sqref="D11:D33 A11:B33" xr:uid="{C2494C5A-B92C-4D2C-8423-9D3FED4E4664}">
      <formula1>#REF!</formula1>
    </dataValidation>
  </dataValidations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15720-36AE-4D59-8F03-80B23BDC9110}">
  <sheetPr codeName="Feuil50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62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511FF9C0-E43E-4A22-9605-CCA5A5F4B005}">
      <formula1>#REF!</formula1>
    </dataValidation>
    <dataValidation type="list" allowBlank="1" showInputMessage="1" showErrorMessage="1" sqref="D11:D33 A11:B33" xr:uid="{8A3EF291-9FD3-4153-8482-111B8F0FD414}">
      <formula1>#REF!</formula1>
    </dataValidation>
  </dataValidations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A4DD6-9288-460A-B6DF-B7B90E8341A2}">
  <sheetPr codeName="Feuil51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63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C0284E82-2542-4D41-9E49-83DAC96078A7}">
      <formula1>#REF!</formula1>
    </dataValidation>
    <dataValidation type="list" allowBlank="1" showInputMessage="1" showErrorMessage="1" sqref="D11:D33 A11:B33" xr:uid="{F34FF9DD-FCA1-42B8-88F6-35F6F4531CA0}">
      <formula1>#REF!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D8102-6938-4B4F-8937-1AA8519103C5}">
  <sheetPr codeName="Feuil52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64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C3A5A590-2C02-431E-B7AE-5C353E29339A}">
      <formula1>#REF!</formula1>
    </dataValidation>
    <dataValidation type="list" allowBlank="1" showInputMessage="1" showErrorMessage="1" sqref="D11:D33 A11:B33" xr:uid="{D90C61CC-87D2-48EB-8AB7-85D8AD395C0F}">
      <formula1>#REF!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9C44-2DFA-4D68-82BC-FB010E4ACE9C}">
  <sheetPr codeName="Feuil53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65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0EB1E85A-5276-4A93-81A4-74A8B7B1AEA0}">
      <formula1>#REF!</formula1>
    </dataValidation>
    <dataValidation type="list" allowBlank="1" showInputMessage="1" showErrorMessage="1" sqref="D11:D33 A11:B33" xr:uid="{B2CF611D-A542-41F1-96C3-98745E3ABE49}">
      <formula1>#REF!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C2A32-64AA-437F-88C9-F2350E411B37}">
  <sheetPr codeName="Feuil54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27" t="s">
        <v>13</v>
      </c>
      <c r="F2" s="128"/>
      <c r="G2" s="128"/>
      <c r="H2" s="128"/>
      <c r="I2" s="128"/>
      <c r="J2" s="129"/>
    </row>
    <row r="6" spans="1:13" ht="15" thickBot="1" x14ac:dyDescent="0.35">
      <c r="A6" s="4" t="s">
        <v>0</v>
      </c>
      <c r="B6" s="4" t="s">
        <v>103</v>
      </c>
    </row>
    <row r="7" spans="1:13" ht="16.2" thickBot="1" x14ac:dyDescent="0.35">
      <c r="A7" s="4" t="s">
        <v>11</v>
      </c>
      <c r="B7" s="4" t="s">
        <v>66</v>
      </c>
      <c r="L7" s="130" t="s">
        <v>97</v>
      </c>
      <c r="M7" s="131"/>
    </row>
    <row r="8" spans="1:13" ht="15" thickBot="1" x14ac:dyDescent="0.35">
      <c r="L8" s="121" t="s">
        <v>99</v>
      </c>
      <c r="M8" s="122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16" t="s">
        <v>67</v>
      </c>
      <c r="M9" s="17">
        <f>SUMIFS($J$11:$J$33,$C$11:$C$33,"=06",$D$11:$D$33,"=SDD")</f>
        <v>0</v>
      </c>
    </row>
    <row r="10" spans="1:13" ht="15" thickBot="1" x14ac:dyDescent="0.35">
      <c r="A10" s="20" t="s">
        <v>1</v>
      </c>
      <c r="B10" s="21" t="s">
        <v>95</v>
      </c>
      <c r="C10" s="21" t="s">
        <v>2</v>
      </c>
      <c r="D10" s="22" t="s">
        <v>3</v>
      </c>
      <c r="E10" s="24"/>
      <c r="F10" s="25"/>
      <c r="G10" s="25"/>
      <c r="H10" s="25"/>
      <c r="I10" s="26"/>
      <c r="J10" s="27"/>
      <c r="L10" s="8" t="s">
        <v>68</v>
      </c>
      <c r="M10" s="9">
        <f>SUMIFS($J$11:$J$33,$C$11:$C$33,"=06",$D$11:$D$33,"=INDUS")</f>
        <v>0</v>
      </c>
    </row>
    <row r="11" spans="1:13" x14ac:dyDescent="0.3">
      <c r="A11" s="28"/>
      <c r="B11" s="29"/>
      <c r="C11" s="29"/>
      <c r="D11" s="30"/>
      <c r="E11" s="31"/>
      <c r="F11" s="32"/>
      <c r="G11" s="32"/>
      <c r="H11" s="32"/>
      <c r="I11" s="33"/>
      <c r="J11" s="34">
        <f t="shared" ref="J11:J33" si="0">SUM(E11:I11)</f>
        <v>0</v>
      </c>
      <c r="L11" s="16" t="s">
        <v>69</v>
      </c>
      <c r="M11" s="17">
        <f>SUMIFS($J$11:$J$33,$C$11:$C$33,"=07",$D$11:$D$33,"=SDD")</f>
        <v>0</v>
      </c>
    </row>
    <row r="12" spans="1:13" ht="15" thickBot="1" x14ac:dyDescent="0.35">
      <c r="A12" s="28"/>
      <c r="B12" s="29"/>
      <c r="C12" s="29"/>
      <c r="D12" s="30"/>
      <c r="E12" s="31"/>
      <c r="F12" s="32"/>
      <c r="G12" s="32"/>
      <c r="H12" s="32"/>
      <c r="I12" s="33"/>
      <c r="J12" s="34">
        <f t="shared" si="0"/>
        <v>0</v>
      </c>
      <c r="L12" s="8" t="s">
        <v>70</v>
      </c>
      <c r="M12" s="9">
        <f>SUMIFS($J$11:$J$33,$C$11:$C$33,"=07",$D$11:$D$33,"=INDUS")</f>
        <v>0</v>
      </c>
    </row>
    <row r="13" spans="1:13" x14ac:dyDescent="0.3">
      <c r="A13" s="28"/>
      <c r="B13" s="29"/>
      <c r="C13" s="29"/>
      <c r="D13" s="30"/>
      <c r="E13" s="31"/>
      <c r="F13" s="32"/>
      <c r="G13" s="32"/>
      <c r="H13" s="32"/>
      <c r="I13" s="33"/>
      <c r="J13" s="34">
        <f t="shared" si="0"/>
        <v>0</v>
      </c>
      <c r="L13" s="18" t="s">
        <v>71</v>
      </c>
      <c r="M13" s="19">
        <f>SUMIFS($J$11:$J$33,$C$11:$C$33,"=08",$D$11:$D$33,"=SDD")</f>
        <v>0</v>
      </c>
    </row>
    <row r="14" spans="1:13" ht="15" thickBot="1" x14ac:dyDescent="0.35">
      <c r="A14" s="28"/>
      <c r="B14" s="29"/>
      <c r="C14" s="29"/>
      <c r="D14" s="30"/>
      <c r="E14" s="31"/>
      <c r="F14" s="32"/>
      <c r="G14" s="32"/>
      <c r="H14" s="32"/>
      <c r="I14" s="33"/>
      <c r="J14" s="34">
        <f t="shared" si="0"/>
        <v>0</v>
      </c>
      <c r="L14" s="14" t="s">
        <v>72</v>
      </c>
      <c r="M14" s="15">
        <f>SUMIFS($J$11:$J$33,$C$11:$C$33,"=08",$D$11:$D$33,"=INDUS")</f>
        <v>0</v>
      </c>
    </row>
    <row r="15" spans="1:13" x14ac:dyDescent="0.3">
      <c r="A15" s="28"/>
      <c r="B15" s="29"/>
      <c r="C15" s="29"/>
      <c r="D15" s="30"/>
      <c r="E15" s="31"/>
      <c r="F15" s="32"/>
      <c r="G15" s="32"/>
      <c r="H15" s="32"/>
      <c r="I15" s="33"/>
      <c r="J15" s="34">
        <f t="shared" si="0"/>
        <v>0</v>
      </c>
      <c r="L15" s="16" t="s">
        <v>73</v>
      </c>
      <c r="M15" s="17">
        <f>SUMIFS($J$11:$J$33,$C$11:$C$33,"=09",$D$11:$D$33,"=SDD")</f>
        <v>0</v>
      </c>
    </row>
    <row r="16" spans="1:13" ht="15" thickBot="1" x14ac:dyDescent="0.35">
      <c r="A16" s="28"/>
      <c r="B16" s="29"/>
      <c r="C16" s="29"/>
      <c r="D16" s="30"/>
      <c r="E16" s="31"/>
      <c r="F16" s="32"/>
      <c r="G16" s="32"/>
      <c r="H16" s="32"/>
      <c r="I16" s="33"/>
      <c r="J16" s="34">
        <f t="shared" si="0"/>
        <v>0</v>
      </c>
      <c r="L16" s="8" t="s">
        <v>74</v>
      </c>
      <c r="M16" s="9">
        <f>SUMIFS($J$11:$J$33,$C$11:$C$33,"=09",$D$11:$D$33,"=INDUS")</f>
        <v>0</v>
      </c>
    </row>
    <row r="17" spans="1:13" x14ac:dyDescent="0.3">
      <c r="A17" s="28"/>
      <c r="B17" s="29"/>
      <c r="C17" s="29"/>
      <c r="D17" s="30"/>
      <c r="E17" s="31"/>
      <c r="F17" s="32"/>
      <c r="G17" s="32"/>
      <c r="H17" s="32"/>
      <c r="I17" s="33"/>
      <c r="J17" s="34">
        <f t="shared" si="0"/>
        <v>0</v>
      </c>
      <c r="L17" s="16" t="s">
        <v>75</v>
      </c>
      <c r="M17" s="17">
        <f>SUMIFS($J$11:$J$33,$C$11:$C$33,"=14B",$D$11:$D$33,"=SDD")</f>
        <v>0</v>
      </c>
    </row>
    <row r="18" spans="1:13" ht="15" thickBot="1" x14ac:dyDescent="0.35">
      <c r="A18" s="28"/>
      <c r="B18" s="29"/>
      <c r="C18" s="29"/>
      <c r="D18" s="30"/>
      <c r="E18" s="31"/>
      <c r="F18" s="32"/>
      <c r="G18" s="32"/>
      <c r="H18" s="32"/>
      <c r="I18" s="33"/>
      <c r="J18" s="34">
        <f t="shared" si="0"/>
        <v>0</v>
      </c>
      <c r="L18" s="8" t="s">
        <v>76</v>
      </c>
      <c r="M18" s="9">
        <f>SUMIFS($J$11:$J$33,$C$11:$C$33,"=14B",$D$11:$D$33,"=INDUS")</f>
        <v>0</v>
      </c>
    </row>
    <row r="19" spans="1:13" x14ac:dyDescent="0.3">
      <c r="A19" s="28"/>
      <c r="B19" s="29"/>
      <c r="C19" s="29"/>
      <c r="D19" s="30"/>
      <c r="E19" s="31"/>
      <c r="F19" s="32"/>
      <c r="G19" s="32"/>
      <c r="H19" s="32"/>
      <c r="I19" s="33"/>
      <c r="J19" s="34">
        <f t="shared" si="0"/>
        <v>0</v>
      </c>
      <c r="L19" s="16" t="s">
        <v>77</v>
      </c>
      <c r="M19" s="17">
        <f>SUMIFS($J$11:$J$33,$C$11:$C$33,"=14H",$D$11:$D$33,"=SDD")</f>
        <v>0</v>
      </c>
    </row>
    <row r="20" spans="1:13" ht="15" thickBot="1" x14ac:dyDescent="0.35">
      <c r="A20" s="28"/>
      <c r="B20" s="29"/>
      <c r="C20" s="29"/>
      <c r="D20" s="30"/>
      <c r="E20" s="31"/>
      <c r="F20" s="32"/>
      <c r="G20" s="32"/>
      <c r="H20" s="32"/>
      <c r="I20" s="33"/>
      <c r="J20" s="34">
        <f t="shared" si="0"/>
        <v>0</v>
      </c>
      <c r="L20" s="8" t="s">
        <v>78</v>
      </c>
      <c r="M20" s="9">
        <f>SUMIFS($J$11:$J$33,$C$11:$C$33,"=14H",$D$11:$D$33,"=INDUS")</f>
        <v>0</v>
      </c>
    </row>
    <row r="21" spans="1:13" x14ac:dyDescent="0.3">
      <c r="A21" s="28"/>
      <c r="B21" s="29"/>
      <c r="C21" s="29"/>
      <c r="D21" s="30"/>
      <c r="E21" s="31"/>
      <c r="F21" s="32"/>
      <c r="G21" s="32"/>
      <c r="H21" s="32"/>
      <c r="I21" s="33"/>
      <c r="J21" s="34">
        <f t="shared" si="0"/>
        <v>0</v>
      </c>
      <c r="L21" s="16" t="s">
        <v>79</v>
      </c>
      <c r="M21" s="17">
        <f>SUMIFS($J$11:$J$33,$C$11:$C$33,"=15B",$D$11:$D$33,"=SDD")</f>
        <v>0</v>
      </c>
    </row>
    <row r="22" spans="1:13" ht="15" thickBot="1" x14ac:dyDescent="0.35">
      <c r="A22" s="28"/>
      <c r="B22" s="29"/>
      <c r="C22" s="29"/>
      <c r="D22" s="30"/>
      <c r="E22" s="31"/>
      <c r="F22" s="32"/>
      <c r="G22" s="32"/>
      <c r="H22" s="32"/>
      <c r="I22" s="33"/>
      <c r="J22" s="34">
        <f t="shared" si="0"/>
        <v>0</v>
      </c>
      <c r="L22" s="8" t="s">
        <v>81</v>
      </c>
      <c r="M22" s="9">
        <f>SUMIFS($J$11:$J$33,$C$11:$C$33,"=15B",$D$11:$D$33,"=INDUS")</f>
        <v>0</v>
      </c>
    </row>
    <row r="23" spans="1:13" x14ac:dyDescent="0.3">
      <c r="A23" s="28"/>
      <c r="B23" s="29"/>
      <c r="C23" s="29"/>
      <c r="D23" s="30"/>
      <c r="E23" s="31"/>
      <c r="F23" s="32"/>
      <c r="G23" s="32"/>
      <c r="H23" s="32"/>
      <c r="I23" s="33"/>
      <c r="J23" s="34">
        <f t="shared" si="0"/>
        <v>0</v>
      </c>
      <c r="L23" s="16" t="s">
        <v>82</v>
      </c>
      <c r="M23" s="17">
        <f>SUMIFS($J$11:$J$33,$C$11:$C$33,"=15H",$D$11:$D$33,"=SDD")</f>
        <v>0</v>
      </c>
    </row>
    <row r="24" spans="1:13" ht="15" thickBot="1" x14ac:dyDescent="0.35">
      <c r="A24" s="28"/>
      <c r="B24" s="29"/>
      <c r="C24" s="29"/>
      <c r="D24" s="30"/>
      <c r="E24" s="31"/>
      <c r="F24" s="32"/>
      <c r="G24" s="32"/>
      <c r="H24" s="32"/>
      <c r="I24" s="33"/>
      <c r="J24" s="34">
        <f t="shared" si="0"/>
        <v>0</v>
      </c>
      <c r="L24" s="8" t="s">
        <v>80</v>
      </c>
      <c r="M24" s="9">
        <f>SUMIFS($J$11:$J$33,$C$11:$C$33,"=15H",$D$11:$D$33,"=INDUS")</f>
        <v>0</v>
      </c>
    </row>
    <row r="25" spans="1:13" x14ac:dyDescent="0.3">
      <c r="A25" s="28"/>
      <c r="B25" s="29"/>
      <c r="C25" s="29"/>
      <c r="D25" s="30"/>
      <c r="E25" s="31"/>
      <c r="F25" s="32"/>
      <c r="G25" s="32"/>
      <c r="H25" s="32"/>
      <c r="I25" s="33"/>
      <c r="J25" s="34">
        <f t="shared" si="0"/>
        <v>0</v>
      </c>
      <c r="L25" s="16" t="s">
        <v>83</v>
      </c>
      <c r="M25" s="17">
        <f>SUMIFS($J$11:$J$33,$C$11:$C$33,"=16B",$D$11:$D$33,"=SDD")</f>
        <v>0</v>
      </c>
    </row>
    <row r="26" spans="1:13" ht="15" thickBot="1" x14ac:dyDescent="0.35">
      <c r="A26" s="28"/>
      <c r="B26" s="29"/>
      <c r="C26" s="29"/>
      <c r="D26" s="30"/>
      <c r="E26" s="31"/>
      <c r="F26" s="32"/>
      <c r="G26" s="32"/>
      <c r="H26" s="32"/>
      <c r="I26" s="33"/>
      <c r="J26" s="34">
        <f t="shared" si="0"/>
        <v>0</v>
      </c>
      <c r="L26" s="8" t="s">
        <v>84</v>
      </c>
      <c r="M26" s="9">
        <f>SUMIFS($J$11:$J$33,$C$11:$C$33,"=16B",$D$11:$D$33,"=INDUS")</f>
        <v>0</v>
      </c>
    </row>
    <row r="27" spans="1:13" x14ac:dyDescent="0.3">
      <c r="A27" s="28"/>
      <c r="B27" s="29"/>
      <c r="C27" s="29"/>
      <c r="D27" s="30"/>
      <c r="E27" s="31"/>
      <c r="F27" s="32"/>
      <c r="G27" s="32"/>
      <c r="H27" s="32"/>
      <c r="I27" s="33"/>
      <c r="J27" s="34">
        <f t="shared" si="0"/>
        <v>0</v>
      </c>
      <c r="L27" s="16" t="s">
        <v>85</v>
      </c>
      <c r="M27" s="17">
        <f>SUMIFS($J$11:$J$33,$C$11:$C$33,"=16H",$D$11:$D$33,"=SDD")</f>
        <v>0</v>
      </c>
    </row>
    <row r="28" spans="1:13" ht="15" thickBot="1" x14ac:dyDescent="0.35">
      <c r="A28" s="28"/>
      <c r="B28" s="29"/>
      <c r="C28" s="29"/>
      <c r="D28" s="30"/>
      <c r="E28" s="31"/>
      <c r="F28" s="32"/>
      <c r="G28" s="32"/>
      <c r="H28" s="32"/>
      <c r="I28" s="33"/>
      <c r="J28" s="34">
        <f t="shared" si="0"/>
        <v>0</v>
      </c>
      <c r="L28" s="8" t="s">
        <v>86</v>
      </c>
      <c r="M28" s="9">
        <f>SUMIFS($J$11:$J$33,$C$11:$C$33,"=16H",$D$11:$D$33,"=INDUS")</f>
        <v>0</v>
      </c>
    </row>
    <row r="29" spans="1:13" x14ac:dyDescent="0.3">
      <c r="A29" s="28"/>
      <c r="B29" s="29"/>
      <c r="C29" s="29"/>
      <c r="D29" s="30"/>
      <c r="E29" s="31"/>
      <c r="F29" s="32"/>
      <c r="G29" s="32"/>
      <c r="H29" s="32"/>
      <c r="I29" s="33"/>
      <c r="J29" s="34">
        <f t="shared" si="0"/>
        <v>0</v>
      </c>
      <c r="L29" s="16" t="s">
        <v>87</v>
      </c>
      <c r="M29" s="17">
        <f>SUMIFS($J$11:$J$33,$C$11:$C$33,"=17",$D$11:$D$33,"=SDD")</f>
        <v>0</v>
      </c>
    </row>
    <row r="30" spans="1:13" ht="15" thickBot="1" x14ac:dyDescent="0.35">
      <c r="A30" s="28"/>
      <c r="B30" s="29"/>
      <c r="C30" s="29"/>
      <c r="D30" s="30"/>
      <c r="E30" s="31"/>
      <c r="F30" s="32"/>
      <c r="G30" s="32"/>
      <c r="H30" s="32"/>
      <c r="I30" s="33"/>
      <c r="J30" s="34">
        <f t="shared" si="0"/>
        <v>0</v>
      </c>
      <c r="L30" s="8" t="s">
        <v>88</v>
      </c>
      <c r="M30" s="9">
        <f>SUMIFS($J$11:$J$33,$C$11:$C$33,"=17",$D$11:$D$33,"=INDUS")</f>
        <v>0</v>
      </c>
    </row>
    <row r="31" spans="1:13" x14ac:dyDescent="0.3">
      <c r="A31" s="28"/>
      <c r="B31" s="29"/>
      <c r="C31" s="29"/>
      <c r="D31" s="30"/>
      <c r="E31" s="31"/>
      <c r="F31" s="32"/>
      <c r="G31" s="32"/>
      <c r="H31" s="32"/>
      <c r="I31" s="33"/>
      <c r="J31" s="34">
        <f t="shared" si="0"/>
        <v>0</v>
      </c>
      <c r="L31" s="16" t="s">
        <v>89</v>
      </c>
      <c r="M31" s="17">
        <f>SUMIFS($J$11:$J$33,$C$11:$C$33,"=22",$D$11:$D$33,"=SDD")</f>
        <v>0</v>
      </c>
    </row>
    <row r="32" spans="1:13" ht="15" thickBot="1" x14ac:dyDescent="0.35">
      <c r="A32" s="28"/>
      <c r="B32" s="29"/>
      <c r="C32" s="29"/>
      <c r="D32" s="30"/>
      <c r="E32" s="31"/>
      <c r="F32" s="32"/>
      <c r="G32" s="32"/>
      <c r="H32" s="32"/>
      <c r="I32" s="33"/>
      <c r="J32" s="34">
        <f t="shared" si="0"/>
        <v>0</v>
      </c>
      <c r="L32" s="8" t="s">
        <v>90</v>
      </c>
      <c r="M32" s="9">
        <f>SUMIFS($J$11:$J$33,$C$11:$C$33,"=22",$D$11:$D$33,"=INDUS")</f>
        <v>0</v>
      </c>
    </row>
    <row r="33" spans="1:13" ht="15" thickBot="1" x14ac:dyDescent="0.35">
      <c r="A33" s="28"/>
      <c r="B33" s="29"/>
      <c r="C33" s="29"/>
      <c r="D33" s="30"/>
      <c r="E33" s="35"/>
      <c r="F33" s="36"/>
      <c r="G33" s="36"/>
      <c r="H33" s="36"/>
      <c r="I33" s="37"/>
      <c r="J33" s="38">
        <f t="shared" si="0"/>
        <v>0</v>
      </c>
      <c r="L33" s="16" t="s">
        <v>91</v>
      </c>
      <c r="M33" s="17">
        <f>SUMIFS($J$11:$J$33,$C$11:$C$33,"=23",$D$11:$D$33,"=SDD")</f>
        <v>0</v>
      </c>
    </row>
    <row r="34" spans="1:13" ht="15" thickBot="1" x14ac:dyDescent="0.35">
      <c r="A34" s="39"/>
      <c r="B34" s="40"/>
      <c r="C34" s="40"/>
      <c r="D34" s="23" t="s">
        <v>10</v>
      </c>
      <c r="E34" s="41">
        <f>SUM(E11:E33)</f>
        <v>0</v>
      </c>
      <c r="F34" s="42">
        <f>SUM(F11:F33)</f>
        <v>0</v>
      </c>
      <c r="G34" s="42">
        <f>SUM(G11:G33)</f>
        <v>0</v>
      </c>
      <c r="H34" s="42">
        <f>SUM(H11:H33)</f>
        <v>0</v>
      </c>
      <c r="I34" s="43">
        <f>SUM(I11:I33)</f>
        <v>0</v>
      </c>
      <c r="J34" s="44">
        <f>SUM(E34:I34)</f>
        <v>0</v>
      </c>
      <c r="L34" s="8" t="s">
        <v>92</v>
      </c>
      <c r="M34" s="9">
        <f>SUMIFS($J$11:$J$33,$C$11:$C$33,"=23",$D$11:$D$33,"=INDUS")</f>
        <v>0</v>
      </c>
    </row>
    <row r="35" spans="1:13" x14ac:dyDescent="0.3">
      <c r="L35" s="16" t="s">
        <v>93</v>
      </c>
      <c r="M35" s="17">
        <f>SUMIFS($J$11:$J$33,$C$11:$C$33,"=24",$D$11:$D$33,"=SDD")</f>
        <v>0</v>
      </c>
    </row>
    <row r="36" spans="1:13" ht="15" thickBot="1" x14ac:dyDescent="0.35">
      <c r="L36" s="8" t="s">
        <v>94</v>
      </c>
      <c r="M36" s="9">
        <f>SUMIFS($J$11:$J$33,$C$11:$C$33,"=24",$D$11:$D$33,"=INDUS")</f>
        <v>0</v>
      </c>
    </row>
    <row r="37" spans="1:13" x14ac:dyDescent="0.3">
      <c r="L37" s="123"/>
      <c r="M37" s="124"/>
    </row>
    <row r="38" spans="1:13" ht="15" thickBot="1" x14ac:dyDescent="0.35">
      <c r="L38" s="132"/>
      <c r="M38" s="133"/>
    </row>
    <row r="39" spans="1:13" ht="15" thickBot="1" x14ac:dyDescent="0.35">
      <c r="L39" s="121" t="s">
        <v>100</v>
      </c>
      <c r="M39" s="122"/>
    </row>
    <row r="40" spans="1:13" x14ac:dyDescent="0.3">
      <c r="L40" s="16" t="s">
        <v>96</v>
      </c>
      <c r="M40" s="17">
        <f>SUMIFS($J$11:$J$33,$A$11:$A$33,"=CMN",$B$11:$B$33,"=FORMATION")</f>
        <v>0</v>
      </c>
    </row>
    <row r="41" spans="1:13" x14ac:dyDescent="0.3">
      <c r="L41" s="6" t="s">
        <v>14</v>
      </c>
      <c r="M41" s="7">
        <f>SUMIFS($J$11:$J$33,$A$11:$A$33,"=CMN",$B$11:$B$33,"=GESTION PROJET")</f>
        <v>0</v>
      </c>
    </row>
    <row r="42" spans="1:13" x14ac:dyDescent="0.3">
      <c r="L42" s="6" t="s">
        <v>15</v>
      </c>
      <c r="M42" s="7">
        <f>SUMIFS($J$11:$J$33,$A$11:$A$33,"=CMN",$B$11:$B$33,"=REUNION")</f>
        <v>0</v>
      </c>
    </row>
    <row r="43" spans="1:13" x14ac:dyDescent="0.3">
      <c r="L43" s="6" t="s">
        <v>101</v>
      </c>
      <c r="M43" s="7">
        <f>SUMIFS($J$11:$J$33,$A$11:$A$33,"=CMN",$B$11:$B$33,"=STRUCTURE")</f>
        <v>0</v>
      </c>
    </row>
    <row r="44" spans="1:13" x14ac:dyDescent="0.3">
      <c r="L44" s="10" t="s">
        <v>12</v>
      </c>
      <c r="M44" s="11">
        <f>SUMIFS($J$11:$J$33,$A$11:$A$33,"=CMN",$B$11:$B$33,"=CARLINGAGE")</f>
        <v>0</v>
      </c>
    </row>
    <row r="45" spans="1:13" x14ac:dyDescent="0.3">
      <c r="L45" s="10" t="s">
        <v>104</v>
      </c>
      <c r="M45" s="11">
        <f>SUMIFS($J$11:$J$33,$A$11:$A$33,"=CMN",$B$11:$B$33,"=PANNE INFORMATIQUE")</f>
        <v>0</v>
      </c>
    </row>
    <row r="46" spans="1:13" ht="15" thickBot="1" x14ac:dyDescent="0.35">
      <c r="L46" s="12" t="s">
        <v>105</v>
      </c>
      <c r="M46" s="13">
        <f>SUMIFS($J$11:$J$33,$A$11:$A$33,"=CMN",$B$11:$B$33,"=ATTENTE")</f>
        <v>0</v>
      </c>
    </row>
    <row r="47" spans="1:13" x14ac:dyDescent="0.3">
      <c r="L47" s="132"/>
      <c r="M47" s="133"/>
    </row>
    <row r="48" spans="1:13" ht="15" thickBot="1" x14ac:dyDescent="0.35">
      <c r="L48" s="125"/>
      <c r="M48" s="126"/>
    </row>
    <row r="49" spans="12:13" ht="15" thickBot="1" x14ac:dyDescent="0.35">
      <c r="L49" s="121" t="s">
        <v>102</v>
      </c>
      <c r="M49" s="122"/>
    </row>
    <row r="50" spans="12:13" x14ac:dyDescent="0.3">
      <c r="L50" s="16" t="s">
        <v>96</v>
      </c>
      <c r="M50" s="17">
        <f>SUMIFS($J$11:$J$33,$A$11:$A$33,"=AUTRE",$B$11:$B$33,"=FORMATION")</f>
        <v>0</v>
      </c>
    </row>
    <row r="51" spans="12:13" x14ac:dyDescent="0.3">
      <c r="L51" s="6" t="s">
        <v>14</v>
      </c>
      <c r="M51" s="7">
        <f>SUMIFS($J$11:$J$33,$A$11:$A$33,"=AUTRE",$B$11:$B$33,"=GESTION PROJET")</f>
        <v>0</v>
      </c>
    </row>
    <row r="52" spans="12:13" x14ac:dyDescent="0.3">
      <c r="L52" s="6" t="s">
        <v>15</v>
      </c>
      <c r="M52" s="7">
        <f>SUMIFS($J$11:$J$33,$A$11:$A$33,"=AUTRE",$B$11:$B$33,"=REUNION")</f>
        <v>0</v>
      </c>
    </row>
    <row r="53" spans="12:13" x14ac:dyDescent="0.3">
      <c r="L53" s="10" t="s">
        <v>101</v>
      </c>
      <c r="M53" s="7">
        <f>SUMIFS($J$11:$J$33,$A$11:$A$33,"=AUTRE",$B$11:$B$33,"=STRUCTURE")</f>
        <v>0</v>
      </c>
    </row>
    <row r="54" spans="12:13" x14ac:dyDescent="0.3">
      <c r="L54" s="10" t="s">
        <v>12</v>
      </c>
      <c r="M54" s="11">
        <f>SUMIFS($J$11:$J$33,$A$11:$A$33,"=AUTRE",$B$11:$B$33,"=CARLINGAGE")</f>
        <v>0</v>
      </c>
    </row>
    <row r="55" spans="12:13" x14ac:dyDescent="0.3">
      <c r="L55" s="10" t="s">
        <v>104</v>
      </c>
      <c r="M55" s="11">
        <f>SUMIFS($J$11:$J$33,$A$11:$A$33,"=AUTRE",$B$11:$B$33,"=PANNE INFORMATIQUE")</f>
        <v>0</v>
      </c>
    </row>
    <row r="56" spans="12:13" ht="15" thickBot="1" x14ac:dyDescent="0.35">
      <c r="L56" s="12" t="s">
        <v>105</v>
      </c>
      <c r="M56" s="13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dataValidations count="2">
    <dataValidation type="list" allowBlank="1" showInputMessage="1" showErrorMessage="1" sqref="C11:C33" xr:uid="{B1D68D02-A8E7-49D0-B3C7-F060E06EBFFF}">
      <formula1>#REF!</formula1>
    </dataValidation>
    <dataValidation type="list" allowBlank="1" showInputMessage="1" showErrorMessage="1" sqref="D11:D33 A11:B33" xr:uid="{88CE9D8F-3B4D-4778-8CD4-9E282B206686}">
      <formula1>#REF!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F467E-2EAF-4AEC-A2DD-962299A018B2}">
  <sheetPr codeName="Feuil55"/>
  <dimension ref="B6"/>
  <sheetViews>
    <sheetView workbookViewId="0">
      <selection activeCell="P17" sqref="P17"/>
    </sheetView>
  </sheetViews>
  <sheetFormatPr baseColWidth="10" defaultRowHeight="14.4" x14ac:dyDescent="0.3"/>
  <sheetData>
    <row r="6" spans="2:2" x14ac:dyDescent="0.3">
      <c r="B6" t="s">
        <v>103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54</vt:i4>
      </vt:variant>
    </vt:vector>
  </HeadingPairs>
  <TitlesOfParts>
    <vt:vector size="54" baseType="lpstr">
      <vt:lpstr>BILAN</vt:lpstr>
      <vt:lpstr>debut</vt:lpstr>
      <vt:lpstr>Se41</vt:lpstr>
      <vt:lpstr>Se42</vt:lpstr>
      <vt:lpstr>Se43</vt:lpstr>
      <vt:lpstr>Se44</vt:lpstr>
      <vt:lpstr>Se45</vt:lpstr>
      <vt:lpstr>Se46</vt:lpstr>
      <vt:lpstr>Se47</vt:lpstr>
      <vt:lpstr>Se48</vt:lpstr>
      <vt:lpstr>Se49</vt:lpstr>
      <vt:lpstr>Se50</vt:lpstr>
      <vt:lpstr>Se51</vt:lpstr>
      <vt:lpstr>Se52</vt:lpstr>
      <vt:lpstr>Se01</vt:lpstr>
      <vt:lpstr>Se02</vt:lpstr>
      <vt:lpstr>Se03</vt:lpstr>
      <vt:lpstr>Se04</vt:lpstr>
      <vt:lpstr>Se05</vt:lpstr>
      <vt:lpstr>Se06</vt:lpstr>
      <vt:lpstr>Se07</vt:lpstr>
      <vt:lpstr>Se08</vt:lpstr>
      <vt:lpstr>Se09</vt:lpstr>
      <vt:lpstr>Se10</vt:lpstr>
      <vt:lpstr>Se11</vt:lpstr>
      <vt:lpstr>Se12</vt:lpstr>
      <vt:lpstr>Se13</vt:lpstr>
      <vt:lpstr>Se14</vt:lpstr>
      <vt:lpstr>Se15</vt:lpstr>
      <vt:lpstr>Se16</vt:lpstr>
      <vt:lpstr>Se17</vt:lpstr>
      <vt:lpstr>Se18</vt:lpstr>
      <vt:lpstr>Se19</vt:lpstr>
      <vt:lpstr>Se20</vt:lpstr>
      <vt:lpstr>Se21</vt:lpstr>
      <vt:lpstr>Se22</vt:lpstr>
      <vt:lpstr>Se23</vt:lpstr>
      <vt:lpstr>Se24</vt:lpstr>
      <vt:lpstr>Se25</vt:lpstr>
      <vt:lpstr>Se26</vt:lpstr>
      <vt:lpstr>Se27</vt:lpstr>
      <vt:lpstr>Se28</vt:lpstr>
      <vt:lpstr>Se29</vt:lpstr>
      <vt:lpstr>Se30</vt:lpstr>
      <vt:lpstr>Se31</vt:lpstr>
      <vt:lpstr>Se32</vt:lpstr>
      <vt:lpstr>Se33</vt:lpstr>
      <vt:lpstr>Se34</vt:lpstr>
      <vt:lpstr>Se35</vt:lpstr>
      <vt:lpstr>Se36</vt:lpstr>
      <vt:lpstr>Se37</vt:lpstr>
      <vt:lpstr>Se38</vt:lpstr>
      <vt:lpstr>Se39</vt:lpstr>
      <vt:lpstr>fin</vt:lpstr>
    </vt:vector>
  </TitlesOfParts>
  <Company>Naval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VAUGRENARD, Alexandra</dc:creator>
  <cp:lastModifiedBy>BOUFARES Marwen</cp:lastModifiedBy>
  <dcterms:created xsi:type="dcterms:W3CDTF">2020-06-17T08:16:39Z</dcterms:created>
  <dcterms:modified xsi:type="dcterms:W3CDTF">2024-08-21T12:12:18Z</dcterms:modified>
</cp:coreProperties>
</file>