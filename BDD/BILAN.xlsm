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ufares\Desktop\Nouveau dossier\suiviProjetG\BDD\"/>
    </mc:Choice>
  </mc:AlternateContent>
  <xr:revisionPtr revIDLastSave="0" documentId="13_ncr:1_{E90F88D1-BD36-40BF-A02F-8EAD3B485AF1}" xr6:coauthVersionLast="47" xr6:coauthVersionMax="47" xr10:uidLastSave="{00000000-0000-0000-0000-000000000000}"/>
  <bookViews>
    <workbookView xWindow="-108" yWindow="-108" windowWidth="23256" windowHeight="12576" tabRatio="688" xr2:uid="{00000000-000D-0000-FFFF-FFFF00000000}"/>
  </bookViews>
  <sheets>
    <sheet name="BILAN" sheetId="106" r:id="rId1"/>
    <sheet name="SOURCE" sheetId="2" r:id="rId2"/>
    <sheet name="debut" sheetId="104" state="hidden" r:id="rId3"/>
    <sheet name="Se41" sheetId="17" state="hidden" r:id="rId4"/>
    <sheet name="Se42" sheetId="18" state="hidden" r:id="rId5"/>
    <sheet name="Se43" sheetId="19" state="hidden" r:id="rId6"/>
    <sheet name="Se44" sheetId="20" state="hidden" r:id="rId7"/>
    <sheet name="Se45" sheetId="21" state="hidden" r:id="rId8"/>
    <sheet name="Se46" sheetId="22" state="hidden" r:id="rId9"/>
    <sheet name="Se47" sheetId="23" state="hidden" r:id="rId10"/>
    <sheet name="Se48" sheetId="24" state="hidden" r:id="rId11"/>
    <sheet name="Se49" sheetId="25" state="hidden" r:id="rId12"/>
    <sheet name="Se50" sheetId="26" state="hidden" r:id="rId13"/>
    <sheet name="Se51" sheetId="27" state="hidden" r:id="rId14"/>
    <sheet name="Se52" sheetId="28" state="hidden" r:id="rId15"/>
    <sheet name="Se01" sheetId="57" state="hidden" r:id="rId16"/>
    <sheet name="Se02" sheetId="58" state="hidden" r:id="rId17"/>
    <sheet name="Se03" sheetId="59" state="hidden" r:id="rId18"/>
    <sheet name="Se04" sheetId="60" state="hidden" r:id="rId19"/>
    <sheet name="Se05" sheetId="61" state="hidden" r:id="rId20"/>
    <sheet name="Se06" sheetId="62" state="hidden" r:id="rId21"/>
    <sheet name="Se07" sheetId="63" state="hidden" r:id="rId22"/>
    <sheet name="Se08" sheetId="64" state="hidden" r:id="rId23"/>
    <sheet name="Se09" sheetId="65" state="hidden" r:id="rId24"/>
    <sheet name="Se10" sheetId="66" state="hidden" r:id="rId25"/>
    <sheet name="Se11" sheetId="67" state="hidden" r:id="rId26"/>
    <sheet name="Se12" sheetId="68" state="hidden" r:id="rId27"/>
    <sheet name="Se13" sheetId="69" state="hidden" r:id="rId28"/>
    <sheet name="Se14" sheetId="70" state="hidden" r:id="rId29"/>
    <sheet name="Se15" sheetId="71" state="hidden" r:id="rId30"/>
    <sheet name="Se16" sheetId="72" state="hidden" r:id="rId31"/>
    <sheet name="Se17" sheetId="73" state="hidden" r:id="rId32"/>
    <sheet name="Se18" sheetId="74" state="hidden" r:id="rId33"/>
    <sheet name="Se19" sheetId="75" state="hidden" r:id="rId34"/>
    <sheet name="Se20" sheetId="76" state="hidden" r:id="rId35"/>
    <sheet name="Se21" sheetId="77" state="hidden" r:id="rId36"/>
    <sheet name="Se22" sheetId="78" state="hidden" r:id="rId37"/>
    <sheet name="Se23" sheetId="79" state="hidden" r:id="rId38"/>
    <sheet name="Se24" sheetId="80" state="hidden" r:id="rId39"/>
    <sheet name="Se25" sheetId="81" state="hidden" r:id="rId40"/>
    <sheet name="Se26" sheetId="82" state="hidden" r:id="rId41"/>
    <sheet name="Se27" sheetId="83" state="hidden" r:id="rId42"/>
    <sheet name="Se28" sheetId="84" state="hidden" r:id="rId43"/>
    <sheet name="Se29" sheetId="85" state="hidden" r:id="rId44"/>
    <sheet name="Se30" sheetId="86" state="hidden" r:id="rId45"/>
    <sheet name="Se31" sheetId="87" state="hidden" r:id="rId46"/>
    <sheet name="Se32" sheetId="88" state="hidden" r:id="rId47"/>
    <sheet name="Se33" sheetId="89" state="hidden" r:id="rId48"/>
    <sheet name="Se34" sheetId="90" state="hidden" r:id="rId49"/>
    <sheet name="Se35" sheetId="91" state="hidden" r:id="rId50"/>
    <sheet name="Se36" sheetId="92" state="hidden" r:id="rId51"/>
    <sheet name="Se37" sheetId="93" state="hidden" r:id="rId52"/>
    <sheet name="Se38" sheetId="94" state="hidden" r:id="rId53"/>
    <sheet name="Se39" sheetId="95" state="hidden" r:id="rId54"/>
    <sheet name="fin" sheetId="105" state="hidden" r:id="rId55"/>
  </sheets>
  <definedNames>
    <definedName name="FTI">SOURCE!$E$3:$E$5</definedName>
    <definedName name="GOWING" localSheetId="1">SOURCE!#REF!</definedName>
    <definedName name="METIER">SOURCE!$C$4:$C$5</definedName>
    <definedName name="PROJET">SOURCE!$A$4:$A$7</definedName>
    <definedName name="TACHES">SOURCE!#REF!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06" l="1"/>
  <c r="P23" i="106"/>
  <c r="P22" i="106"/>
  <c r="P10" i="106"/>
  <c r="P6" i="106"/>
  <c r="P4" i="106"/>
  <c r="P21" i="106"/>
  <c r="P20" i="106"/>
  <c r="P9" i="106"/>
  <c r="P8" i="106"/>
  <c r="P5" i="106"/>
  <c r="P25" i="106"/>
  <c r="P24" i="106"/>
  <c r="T36" i="106" l="1"/>
  <c r="O38" i="106"/>
  <c r="O35" i="106" l="1"/>
  <c r="O30" i="106"/>
  <c r="O26" i="106"/>
  <c r="O9" i="106"/>
  <c r="O6" i="106"/>
  <c r="O20" i="106"/>
  <c r="O24" i="106"/>
  <c r="O16" i="106"/>
  <c r="O14" i="106"/>
  <c r="O8" i="106"/>
  <c r="O37" i="106"/>
  <c r="O31" i="106"/>
  <c r="O21" i="106"/>
  <c r="O13" i="106"/>
  <c r="O7" i="106"/>
  <c r="O34" i="106"/>
  <c r="O29" i="106"/>
  <c r="O27" i="106"/>
  <c r="O25" i="106"/>
  <c r="O23" i="106"/>
  <c r="O19" i="106"/>
  <c r="O17" i="106"/>
  <c r="O15" i="106"/>
  <c r="O11" i="106"/>
  <c r="O5" i="106"/>
  <c r="O39" i="106"/>
  <c r="O36" i="106"/>
  <c r="O28" i="106"/>
  <c r="Q28" i="106" s="1"/>
  <c r="O22" i="106"/>
  <c r="Q22" i="106" s="1"/>
  <c r="O18" i="106"/>
  <c r="O12" i="106"/>
  <c r="Q12" i="106" s="1"/>
  <c r="O10" i="106"/>
  <c r="O4" i="106"/>
  <c r="Q4" i="106" s="1"/>
  <c r="O33" i="106"/>
  <c r="O44" i="106"/>
  <c r="O42" i="106"/>
  <c r="O43" i="106"/>
  <c r="O47" i="106"/>
  <c r="O46" i="106"/>
  <c r="O45" i="106"/>
  <c r="O48" i="106"/>
  <c r="R11" i="106" l="1"/>
  <c r="Q11" i="106"/>
  <c r="R19" i="106"/>
  <c r="Q19" i="106"/>
  <c r="R24" i="106"/>
  <c r="Q24" i="106"/>
  <c r="R15" i="106"/>
  <c r="Q15" i="106"/>
  <c r="R17" i="106"/>
  <c r="Q17" i="106"/>
  <c r="R10" i="106"/>
  <c r="Q10" i="106"/>
  <c r="R16" i="106"/>
  <c r="Q16" i="106"/>
  <c r="R27" i="106"/>
  <c r="Q27" i="106"/>
  <c r="R20" i="106"/>
  <c r="Q20" i="106"/>
  <c r="R29" i="106"/>
  <c r="Q29" i="106"/>
  <c r="R6" i="106"/>
  <c r="Q6" i="106"/>
  <c r="R25" i="106"/>
  <c r="Q25" i="106"/>
  <c r="R9" i="106"/>
  <c r="Q9" i="106"/>
  <c r="R7" i="106"/>
  <c r="Q7" i="106"/>
  <c r="R26" i="106"/>
  <c r="Q26" i="106"/>
  <c r="R31" i="106"/>
  <c r="Q31" i="106"/>
  <c r="R8" i="106"/>
  <c r="Q8" i="106"/>
  <c r="R14" i="106"/>
  <c r="Q14" i="106"/>
  <c r="R23" i="106"/>
  <c r="Q23" i="106"/>
  <c r="R18" i="106"/>
  <c r="Q18" i="106"/>
  <c r="R13" i="106"/>
  <c r="Q13" i="106"/>
  <c r="R30" i="106"/>
  <c r="Q30" i="106"/>
  <c r="R5" i="106"/>
  <c r="Q5" i="106"/>
  <c r="R21" i="106"/>
  <c r="Q21" i="106"/>
  <c r="R36" i="106"/>
  <c r="W35" i="106" s="1"/>
  <c r="X6" i="106"/>
  <c r="X30" i="106"/>
  <c r="X22" i="106"/>
  <c r="X26" i="106"/>
  <c r="X14" i="106"/>
  <c r="X28" i="106"/>
  <c r="X8" i="106"/>
  <c r="X24" i="106"/>
  <c r="X20" i="106"/>
  <c r="R28" i="106"/>
  <c r="X12" i="106"/>
  <c r="X18" i="106"/>
  <c r="R12" i="106"/>
  <c r="R22" i="106"/>
  <c r="X10" i="106"/>
  <c r="X16" i="106"/>
  <c r="R4" i="106"/>
  <c r="X4" i="106"/>
  <c r="M56" i="18"/>
  <c r="M56" i="19"/>
  <c r="M56" i="20"/>
  <c r="M56" i="21"/>
  <c r="M56" i="22"/>
  <c r="M56" i="23"/>
  <c r="M56" i="24"/>
  <c r="M56" i="25"/>
  <c r="M56" i="26"/>
  <c r="M56" i="27"/>
  <c r="M56" i="28"/>
  <c r="M56" i="57"/>
  <c r="M56" i="58"/>
  <c r="M56" i="59"/>
  <c r="M56" i="60"/>
  <c r="M56" i="61"/>
  <c r="M56" i="62"/>
  <c r="M56" i="63"/>
  <c r="M56" i="64"/>
  <c r="M56" i="65"/>
  <c r="M56" i="66"/>
  <c r="M56" i="67"/>
  <c r="M56" i="68"/>
  <c r="M56" i="69"/>
  <c r="M56" i="70"/>
  <c r="M56" i="71"/>
  <c r="M56" i="72"/>
  <c r="M56" i="73"/>
  <c r="M56" i="74"/>
  <c r="M56" i="75"/>
  <c r="M56" i="76"/>
  <c r="M56" i="77"/>
  <c r="M56" i="78"/>
  <c r="M56" i="79"/>
  <c r="M56" i="80"/>
  <c r="M56" i="81"/>
  <c r="M56" i="82"/>
  <c r="M56" i="83"/>
  <c r="M56" i="84"/>
  <c r="M56" i="85"/>
  <c r="M56" i="86"/>
  <c r="M56" i="87"/>
  <c r="M56" i="88"/>
  <c r="M56" i="89"/>
  <c r="M56" i="90"/>
  <c r="M56" i="91"/>
  <c r="M56" i="92"/>
  <c r="M56" i="93"/>
  <c r="M56" i="94"/>
  <c r="M56" i="95"/>
  <c r="M56" i="17"/>
  <c r="M55" i="18"/>
  <c r="M55" i="19"/>
  <c r="M55" i="20"/>
  <c r="M55" i="21"/>
  <c r="M55" i="22"/>
  <c r="M55" i="23"/>
  <c r="M55" i="24"/>
  <c r="M55" i="25"/>
  <c r="M55" i="26"/>
  <c r="M55" i="27"/>
  <c r="M55" i="28"/>
  <c r="M55" i="57"/>
  <c r="M55" i="58"/>
  <c r="M55" i="59"/>
  <c r="M55" i="60"/>
  <c r="M55" i="61"/>
  <c r="M55" i="62"/>
  <c r="M55" i="63"/>
  <c r="M55" i="64"/>
  <c r="M55" i="65"/>
  <c r="M55" i="66"/>
  <c r="M55" i="67"/>
  <c r="M55" i="68"/>
  <c r="M55" i="69"/>
  <c r="M55" i="70"/>
  <c r="M55" i="71"/>
  <c r="M55" i="72"/>
  <c r="M55" i="73"/>
  <c r="M55" i="74"/>
  <c r="M55" i="75"/>
  <c r="M55" i="76"/>
  <c r="M55" i="77"/>
  <c r="M55" i="78"/>
  <c r="M55" i="79"/>
  <c r="M55" i="80"/>
  <c r="M55" i="81"/>
  <c r="M55" i="82"/>
  <c r="M55" i="83"/>
  <c r="M55" i="84"/>
  <c r="M55" i="85"/>
  <c r="M55" i="86"/>
  <c r="M55" i="87"/>
  <c r="M55" i="88"/>
  <c r="M55" i="89"/>
  <c r="M55" i="90"/>
  <c r="M55" i="91"/>
  <c r="M55" i="92"/>
  <c r="M55" i="93"/>
  <c r="M55" i="94"/>
  <c r="M55" i="95"/>
  <c r="M55" i="17"/>
  <c r="M46" i="18"/>
  <c r="M46" i="19"/>
  <c r="M46" i="20"/>
  <c r="M46" i="21"/>
  <c r="M46" i="22"/>
  <c r="M46" i="23"/>
  <c r="M46" i="24"/>
  <c r="M46" i="25"/>
  <c r="M46" i="26"/>
  <c r="M46" i="27"/>
  <c r="M46" i="28"/>
  <c r="M46" i="57"/>
  <c r="M46" i="58"/>
  <c r="M46" i="59"/>
  <c r="M46" i="60"/>
  <c r="M46" i="61"/>
  <c r="M46" i="62"/>
  <c r="M46" i="63"/>
  <c r="M46" i="64"/>
  <c r="M46" i="65"/>
  <c r="M46" i="66"/>
  <c r="M46" i="67"/>
  <c r="M46" i="68"/>
  <c r="M46" i="69"/>
  <c r="M46" i="70"/>
  <c r="M46" i="71"/>
  <c r="M46" i="72"/>
  <c r="M46" i="73"/>
  <c r="M46" i="74"/>
  <c r="M46" i="75"/>
  <c r="M46" i="76"/>
  <c r="M46" i="77"/>
  <c r="M46" i="78"/>
  <c r="M46" i="79"/>
  <c r="M46" i="80"/>
  <c r="M46" i="81"/>
  <c r="M46" i="82"/>
  <c r="M46" i="83"/>
  <c r="M46" i="84"/>
  <c r="M46" i="85"/>
  <c r="M46" i="86"/>
  <c r="M46" i="87"/>
  <c r="M46" i="88"/>
  <c r="M46" i="89"/>
  <c r="M46" i="90"/>
  <c r="M46" i="91"/>
  <c r="M46" i="92"/>
  <c r="M46" i="93"/>
  <c r="M46" i="94"/>
  <c r="M46" i="95"/>
  <c r="M45" i="18"/>
  <c r="M45" i="19"/>
  <c r="M45" i="20"/>
  <c r="M45" i="21"/>
  <c r="M45" i="22"/>
  <c r="M45" i="23"/>
  <c r="M45" i="24"/>
  <c r="M45" i="25"/>
  <c r="M45" i="26"/>
  <c r="M45" i="27"/>
  <c r="M45" i="28"/>
  <c r="M45" i="57"/>
  <c r="M45" i="58"/>
  <c r="M45" i="59"/>
  <c r="M45" i="60"/>
  <c r="M45" i="61"/>
  <c r="M45" i="62"/>
  <c r="M45" i="63"/>
  <c r="M45" i="64"/>
  <c r="M45" i="65"/>
  <c r="M45" i="66"/>
  <c r="M45" i="67"/>
  <c r="M45" i="68"/>
  <c r="M45" i="69"/>
  <c r="M45" i="70"/>
  <c r="M45" i="71"/>
  <c r="M45" i="72"/>
  <c r="M45" i="73"/>
  <c r="M45" i="74"/>
  <c r="M45" i="75"/>
  <c r="M45" i="76"/>
  <c r="M45" i="77"/>
  <c r="M45" i="78"/>
  <c r="M45" i="79"/>
  <c r="M45" i="80"/>
  <c r="M45" i="81"/>
  <c r="M45" i="82"/>
  <c r="M45" i="83"/>
  <c r="M45" i="84"/>
  <c r="M45" i="85"/>
  <c r="M45" i="86"/>
  <c r="M45" i="87"/>
  <c r="M45" i="88"/>
  <c r="M45" i="89"/>
  <c r="M45" i="90"/>
  <c r="M45" i="91"/>
  <c r="M45" i="92"/>
  <c r="M45" i="93"/>
  <c r="M45" i="94"/>
  <c r="M45" i="95"/>
  <c r="M45" i="17"/>
  <c r="M53" i="17"/>
  <c r="M53" i="19"/>
  <c r="M53" i="20"/>
  <c r="M53" i="21"/>
  <c r="M53" i="22"/>
  <c r="M53" i="23"/>
  <c r="M53" i="24"/>
  <c r="M53" i="25"/>
  <c r="M53" i="26"/>
  <c r="M53" i="27"/>
  <c r="M53" i="28"/>
  <c r="M53" i="57"/>
  <c r="M53" i="58"/>
  <c r="M53" i="59"/>
  <c r="M53" i="60"/>
  <c r="M53" i="61"/>
  <c r="M53" i="62"/>
  <c r="M53" i="63"/>
  <c r="M53" i="64"/>
  <c r="M53" i="65"/>
  <c r="M53" i="66"/>
  <c r="M53" i="67"/>
  <c r="M53" i="68"/>
  <c r="M53" i="69"/>
  <c r="M53" i="70"/>
  <c r="M53" i="71"/>
  <c r="M53" i="72"/>
  <c r="M53" i="73"/>
  <c r="M53" i="74"/>
  <c r="M53" i="75"/>
  <c r="M53" i="76"/>
  <c r="M53" i="77"/>
  <c r="M53" i="78"/>
  <c r="M53" i="79"/>
  <c r="M53" i="80"/>
  <c r="M53" i="81"/>
  <c r="M53" i="82"/>
  <c r="M53" i="83"/>
  <c r="M53" i="84"/>
  <c r="M53" i="85"/>
  <c r="M53" i="86"/>
  <c r="M53" i="87"/>
  <c r="M53" i="88"/>
  <c r="M53" i="89"/>
  <c r="M53" i="90"/>
  <c r="M53" i="91"/>
  <c r="M53" i="92"/>
  <c r="M53" i="93"/>
  <c r="M53" i="94"/>
  <c r="M53" i="95"/>
  <c r="M53" i="18"/>
  <c r="M52" i="17"/>
  <c r="M52" i="19"/>
  <c r="M52" i="20"/>
  <c r="M52" i="21"/>
  <c r="M52" i="22"/>
  <c r="M52" i="23"/>
  <c r="M52" i="24"/>
  <c r="M52" i="25"/>
  <c r="M52" i="26"/>
  <c r="M52" i="27"/>
  <c r="M52" i="28"/>
  <c r="M52" i="57"/>
  <c r="M52" i="58"/>
  <c r="M52" i="59"/>
  <c r="M52" i="60"/>
  <c r="M52" i="61"/>
  <c r="M52" i="62"/>
  <c r="M52" i="63"/>
  <c r="M52" i="64"/>
  <c r="M52" i="65"/>
  <c r="M52" i="66"/>
  <c r="M52" i="67"/>
  <c r="M52" i="68"/>
  <c r="M52" i="69"/>
  <c r="M52" i="70"/>
  <c r="M52" i="71"/>
  <c r="M52" i="72"/>
  <c r="M52" i="73"/>
  <c r="M52" i="74"/>
  <c r="M52" i="75"/>
  <c r="M52" i="76"/>
  <c r="M52" i="77"/>
  <c r="M52" i="78"/>
  <c r="M52" i="79"/>
  <c r="M52" i="80"/>
  <c r="M52" i="81"/>
  <c r="M52" i="82"/>
  <c r="M52" i="83"/>
  <c r="M52" i="84"/>
  <c r="M52" i="85"/>
  <c r="M52" i="86"/>
  <c r="M52" i="87"/>
  <c r="M52" i="88"/>
  <c r="M52" i="89"/>
  <c r="M52" i="90"/>
  <c r="M52" i="91"/>
  <c r="M52" i="92"/>
  <c r="M52" i="93"/>
  <c r="M52" i="94"/>
  <c r="M52" i="95"/>
  <c r="M52" i="18"/>
  <c r="M51" i="17"/>
  <c r="M51" i="19"/>
  <c r="M51" i="20"/>
  <c r="M51" i="21"/>
  <c r="M51" i="22"/>
  <c r="M51" i="23"/>
  <c r="M51" i="24"/>
  <c r="M51" i="25"/>
  <c r="M51" i="26"/>
  <c r="M51" i="27"/>
  <c r="M51" i="28"/>
  <c r="M51" i="57"/>
  <c r="M51" i="58"/>
  <c r="M51" i="59"/>
  <c r="M51" i="60"/>
  <c r="M51" i="61"/>
  <c r="M51" i="62"/>
  <c r="M51" i="63"/>
  <c r="M51" i="64"/>
  <c r="M51" i="65"/>
  <c r="M51" i="66"/>
  <c r="M51" i="67"/>
  <c r="M51" i="68"/>
  <c r="M51" i="69"/>
  <c r="M51" i="70"/>
  <c r="M51" i="71"/>
  <c r="M51" i="72"/>
  <c r="M51" i="73"/>
  <c r="M51" i="74"/>
  <c r="M51" i="75"/>
  <c r="M51" i="76"/>
  <c r="M51" i="77"/>
  <c r="M51" i="78"/>
  <c r="M51" i="79"/>
  <c r="M51" i="80"/>
  <c r="M51" i="81"/>
  <c r="M51" i="82"/>
  <c r="M51" i="83"/>
  <c r="M51" i="84"/>
  <c r="M51" i="85"/>
  <c r="M51" i="86"/>
  <c r="M51" i="87"/>
  <c r="M51" i="88"/>
  <c r="M51" i="89"/>
  <c r="M51" i="90"/>
  <c r="M51" i="91"/>
  <c r="M51" i="92"/>
  <c r="M51" i="93"/>
  <c r="M51" i="94"/>
  <c r="M51" i="95"/>
  <c r="M51" i="18"/>
  <c r="M50" i="17"/>
  <c r="M50" i="19"/>
  <c r="M50" i="20"/>
  <c r="M50" i="21"/>
  <c r="M50" i="22"/>
  <c r="M50" i="23"/>
  <c r="M50" i="24"/>
  <c r="M50" i="25"/>
  <c r="M50" i="26"/>
  <c r="M50" i="27"/>
  <c r="M50" i="28"/>
  <c r="M50" i="57"/>
  <c r="M50" i="58"/>
  <c r="M50" i="59"/>
  <c r="M50" i="60"/>
  <c r="M50" i="61"/>
  <c r="M50" i="62"/>
  <c r="M50" i="63"/>
  <c r="M50" i="64"/>
  <c r="M50" i="65"/>
  <c r="M50" i="66"/>
  <c r="M50" i="67"/>
  <c r="M50" i="68"/>
  <c r="M50" i="69"/>
  <c r="M50" i="70"/>
  <c r="M50" i="71"/>
  <c r="M50" i="72"/>
  <c r="M50" i="73"/>
  <c r="M50" i="74"/>
  <c r="M50" i="75"/>
  <c r="M50" i="76"/>
  <c r="M50" i="77"/>
  <c r="M50" i="78"/>
  <c r="M50" i="79"/>
  <c r="M50" i="80"/>
  <c r="M50" i="81"/>
  <c r="M50" i="82"/>
  <c r="M50" i="83"/>
  <c r="M50" i="84"/>
  <c r="M50" i="85"/>
  <c r="M50" i="86"/>
  <c r="M50" i="87"/>
  <c r="M50" i="88"/>
  <c r="M50" i="89"/>
  <c r="M50" i="90"/>
  <c r="M50" i="91"/>
  <c r="M50" i="92"/>
  <c r="M50" i="93"/>
  <c r="M50" i="94"/>
  <c r="M50" i="95"/>
  <c r="M50" i="18"/>
  <c r="M42" i="17"/>
  <c r="M42" i="19"/>
  <c r="M42" i="20"/>
  <c r="M42" i="21"/>
  <c r="M42" i="22"/>
  <c r="M42" i="23"/>
  <c r="M42" i="24"/>
  <c r="M42" i="25"/>
  <c r="M42" i="26"/>
  <c r="M42" i="27"/>
  <c r="M42" i="28"/>
  <c r="M42" i="57"/>
  <c r="M42" i="58"/>
  <c r="M42" i="59"/>
  <c r="M42" i="60"/>
  <c r="M42" i="61"/>
  <c r="M42" i="62"/>
  <c r="M42" i="63"/>
  <c r="M42" i="64"/>
  <c r="M42" i="65"/>
  <c r="M42" i="66"/>
  <c r="M42" i="67"/>
  <c r="M42" i="68"/>
  <c r="M42" i="69"/>
  <c r="M42" i="70"/>
  <c r="M42" i="71"/>
  <c r="M42" i="72"/>
  <c r="M42" i="73"/>
  <c r="M42" i="74"/>
  <c r="M42" i="75"/>
  <c r="M42" i="76"/>
  <c r="M42" i="77"/>
  <c r="M42" i="78"/>
  <c r="M42" i="79"/>
  <c r="M42" i="80"/>
  <c r="M42" i="81"/>
  <c r="M42" i="82"/>
  <c r="M42" i="83"/>
  <c r="M42" i="84"/>
  <c r="M42" i="85"/>
  <c r="M42" i="86"/>
  <c r="M42" i="87"/>
  <c r="M42" i="88"/>
  <c r="M42" i="89"/>
  <c r="M42" i="90"/>
  <c r="M42" i="91"/>
  <c r="M42" i="92"/>
  <c r="M42" i="93"/>
  <c r="M42" i="94"/>
  <c r="M42" i="95"/>
  <c r="M42" i="18"/>
  <c r="M41" i="17"/>
  <c r="M41" i="19"/>
  <c r="M41" i="20"/>
  <c r="M41" i="21"/>
  <c r="M41" i="22"/>
  <c r="M41" i="23"/>
  <c r="M41" i="24"/>
  <c r="M41" i="25"/>
  <c r="M41" i="26"/>
  <c r="M41" i="27"/>
  <c r="M41" i="28"/>
  <c r="M41" i="57"/>
  <c r="M41" i="58"/>
  <c r="M41" i="59"/>
  <c r="M41" i="60"/>
  <c r="M41" i="61"/>
  <c r="M41" i="62"/>
  <c r="M41" i="63"/>
  <c r="M41" i="64"/>
  <c r="M41" i="65"/>
  <c r="M41" i="66"/>
  <c r="M41" i="67"/>
  <c r="M41" i="68"/>
  <c r="M41" i="69"/>
  <c r="M41" i="70"/>
  <c r="M41" i="71"/>
  <c r="M41" i="72"/>
  <c r="M41" i="73"/>
  <c r="M41" i="74"/>
  <c r="M41" i="75"/>
  <c r="M41" i="76"/>
  <c r="M41" i="77"/>
  <c r="M41" i="78"/>
  <c r="M41" i="79"/>
  <c r="M41" i="80"/>
  <c r="M41" i="81"/>
  <c r="M41" i="82"/>
  <c r="M41" i="83"/>
  <c r="M41" i="84"/>
  <c r="M41" i="85"/>
  <c r="M41" i="86"/>
  <c r="M41" i="87"/>
  <c r="M41" i="88"/>
  <c r="M41" i="89"/>
  <c r="M41" i="90"/>
  <c r="M41" i="91"/>
  <c r="M41" i="93"/>
  <c r="M41" i="94"/>
  <c r="M41" i="95"/>
  <c r="M41" i="18"/>
  <c r="M40" i="17"/>
  <c r="M40" i="19"/>
  <c r="M40" i="20"/>
  <c r="M40" i="21"/>
  <c r="M40" i="22"/>
  <c r="M40" i="23"/>
  <c r="M40" i="24"/>
  <c r="M40" i="25"/>
  <c r="M40" i="26"/>
  <c r="M40" i="27"/>
  <c r="M40" i="28"/>
  <c r="M40" i="57"/>
  <c r="M40" i="58"/>
  <c r="M40" i="59"/>
  <c r="M40" i="60"/>
  <c r="M40" i="61"/>
  <c r="M40" i="62"/>
  <c r="M40" i="63"/>
  <c r="M40" i="64"/>
  <c r="M40" i="65"/>
  <c r="M40" i="66"/>
  <c r="M40" i="67"/>
  <c r="M40" i="68"/>
  <c r="M40" i="69"/>
  <c r="M40" i="70"/>
  <c r="M40" i="71"/>
  <c r="M40" i="72"/>
  <c r="M40" i="73"/>
  <c r="M40" i="74"/>
  <c r="M40" i="75"/>
  <c r="M40" i="76"/>
  <c r="M40" i="77"/>
  <c r="M40" i="78"/>
  <c r="M40" i="79"/>
  <c r="M40" i="80"/>
  <c r="M40" i="81"/>
  <c r="M40" i="82"/>
  <c r="M40" i="83"/>
  <c r="M40" i="84"/>
  <c r="M40" i="85"/>
  <c r="M40" i="86"/>
  <c r="M40" i="87"/>
  <c r="M40" i="88"/>
  <c r="M40" i="89"/>
  <c r="M40" i="90"/>
  <c r="M40" i="91"/>
  <c r="M40" i="92"/>
  <c r="M40" i="93"/>
  <c r="M40" i="94"/>
  <c r="M40" i="95"/>
  <c r="M40" i="18"/>
  <c r="I34" i="95"/>
  <c r="H34" i="95"/>
  <c r="G34" i="95"/>
  <c r="F34" i="95"/>
  <c r="E34" i="95"/>
  <c r="J33" i="95"/>
  <c r="J32" i="95"/>
  <c r="J31" i="95"/>
  <c r="J30" i="95"/>
  <c r="J29" i="95"/>
  <c r="J28" i="95"/>
  <c r="J27" i="95"/>
  <c r="J26" i="95"/>
  <c r="J25" i="95"/>
  <c r="J24" i="95"/>
  <c r="J23" i="95"/>
  <c r="J22" i="95"/>
  <c r="J21" i="95"/>
  <c r="J20" i="95"/>
  <c r="J19" i="95"/>
  <c r="J18" i="95"/>
  <c r="J17" i="95"/>
  <c r="J16" i="95"/>
  <c r="J15" i="95"/>
  <c r="J14" i="95"/>
  <c r="J13" i="95"/>
  <c r="J12" i="95"/>
  <c r="J11" i="95"/>
  <c r="I34" i="94"/>
  <c r="H34" i="94"/>
  <c r="G34" i="94"/>
  <c r="F34" i="94"/>
  <c r="E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I34" i="93"/>
  <c r="H34" i="93"/>
  <c r="G34" i="93"/>
  <c r="F34" i="93"/>
  <c r="E34" i="93"/>
  <c r="J33" i="93"/>
  <c r="J32" i="93"/>
  <c r="J31" i="93"/>
  <c r="J30" i="93"/>
  <c r="J29" i="93"/>
  <c r="J28" i="93"/>
  <c r="J27" i="93"/>
  <c r="J26" i="93"/>
  <c r="J25" i="93"/>
  <c r="J24" i="93"/>
  <c r="J23" i="93"/>
  <c r="J22" i="93"/>
  <c r="J21" i="93"/>
  <c r="J20" i="93"/>
  <c r="J19" i="93"/>
  <c r="J18" i="93"/>
  <c r="J17" i="93"/>
  <c r="J16" i="93"/>
  <c r="J15" i="93"/>
  <c r="J14" i="93"/>
  <c r="J13" i="93"/>
  <c r="J12" i="93"/>
  <c r="J11" i="93"/>
  <c r="I34" i="92"/>
  <c r="H34" i="92"/>
  <c r="G34" i="92"/>
  <c r="F34" i="92"/>
  <c r="E34" i="92"/>
  <c r="J33" i="92"/>
  <c r="J32" i="92"/>
  <c r="J31" i="92"/>
  <c r="J30" i="92"/>
  <c r="J29" i="92"/>
  <c r="J28" i="92"/>
  <c r="J27" i="92"/>
  <c r="J26" i="92"/>
  <c r="J25" i="92"/>
  <c r="J24" i="92"/>
  <c r="J23" i="92"/>
  <c r="J22" i="92"/>
  <c r="J21" i="92"/>
  <c r="J20" i="92"/>
  <c r="J19" i="92"/>
  <c r="J18" i="92"/>
  <c r="J17" i="92"/>
  <c r="J16" i="92"/>
  <c r="J15" i="92"/>
  <c r="J14" i="92"/>
  <c r="J13" i="92"/>
  <c r="J12" i="92"/>
  <c r="J11" i="92"/>
  <c r="M41" i="92" s="1"/>
  <c r="I34" i="91"/>
  <c r="H34" i="91"/>
  <c r="G34" i="91"/>
  <c r="F34" i="91"/>
  <c r="E34" i="91"/>
  <c r="J33" i="91"/>
  <c r="J32" i="91"/>
  <c r="J31" i="91"/>
  <c r="J30" i="91"/>
  <c r="J29" i="91"/>
  <c r="J28" i="91"/>
  <c r="J27" i="91"/>
  <c r="J26" i="91"/>
  <c r="J25" i="91"/>
  <c r="J24" i="91"/>
  <c r="J23" i="91"/>
  <c r="J22" i="91"/>
  <c r="J21" i="91"/>
  <c r="J20" i="91"/>
  <c r="J19" i="91"/>
  <c r="J18" i="91"/>
  <c r="J17" i="91"/>
  <c r="J16" i="91"/>
  <c r="J15" i="91"/>
  <c r="J14" i="91"/>
  <c r="J13" i="91"/>
  <c r="J12" i="91"/>
  <c r="J11" i="91"/>
  <c r="I34" i="90"/>
  <c r="H34" i="90"/>
  <c r="G34" i="90"/>
  <c r="F34" i="90"/>
  <c r="E34" i="90"/>
  <c r="J33" i="90"/>
  <c r="J32" i="90"/>
  <c r="J31" i="90"/>
  <c r="J30" i="90"/>
  <c r="J29" i="90"/>
  <c r="J28" i="90"/>
  <c r="J27" i="90"/>
  <c r="J26" i="90"/>
  <c r="J25" i="90"/>
  <c r="J24" i="90"/>
  <c r="J23" i="90"/>
  <c r="J22" i="90"/>
  <c r="J21" i="90"/>
  <c r="J20" i="90"/>
  <c r="J19" i="90"/>
  <c r="J18" i="90"/>
  <c r="J17" i="90"/>
  <c r="J16" i="90"/>
  <c r="J15" i="90"/>
  <c r="J14" i="90"/>
  <c r="J13" i="90"/>
  <c r="J12" i="90"/>
  <c r="J11" i="90"/>
  <c r="I34" i="89"/>
  <c r="H34" i="89"/>
  <c r="G34" i="89"/>
  <c r="F34" i="89"/>
  <c r="E34" i="89"/>
  <c r="J33" i="89"/>
  <c r="J32" i="89"/>
  <c r="J31" i="89"/>
  <c r="J30" i="89"/>
  <c r="J29" i="89"/>
  <c r="J28" i="89"/>
  <c r="J27" i="89"/>
  <c r="J26" i="89"/>
  <c r="J25" i="89"/>
  <c r="J24" i="89"/>
  <c r="J23" i="89"/>
  <c r="J22" i="89"/>
  <c r="J21" i="89"/>
  <c r="J20" i="89"/>
  <c r="J19" i="89"/>
  <c r="J18" i="89"/>
  <c r="J17" i="89"/>
  <c r="J16" i="89"/>
  <c r="J15" i="89"/>
  <c r="J14" i="89"/>
  <c r="J13" i="89"/>
  <c r="J12" i="89"/>
  <c r="J11" i="89"/>
  <c r="I34" i="88"/>
  <c r="H34" i="88"/>
  <c r="G34" i="88"/>
  <c r="F34" i="88"/>
  <c r="E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I34" i="87"/>
  <c r="H34" i="87"/>
  <c r="G34" i="87"/>
  <c r="F34" i="87"/>
  <c r="E34" i="87"/>
  <c r="J33" i="87"/>
  <c r="J32" i="87"/>
  <c r="J31" i="87"/>
  <c r="J30" i="87"/>
  <c r="J29" i="87"/>
  <c r="J28" i="87"/>
  <c r="J27" i="87"/>
  <c r="J26" i="87"/>
  <c r="J25" i="87"/>
  <c r="J24" i="87"/>
  <c r="J23" i="87"/>
  <c r="J22" i="87"/>
  <c r="J21" i="87"/>
  <c r="J20" i="87"/>
  <c r="J19" i="87"/>
  <c r="J18" i="87"/>
  <c r="J17" i="87"/>
  <c r="J16" i="87"/>
  <c r="J15" i="87"/>
  <c r="J14" i="87"/>
  <c r="J13" i="87"/>
  <c r="J12" i="87"/>
  <c r="J11" i="87"/>
  <c r="I34" i="86"/>
  <c r="H34" i="86"/>
  <c r="G34" i="86"/>
  <c r="F34" i="86"/>
  <c r="E34" i="86"/>
  <c r="J33" i="86"/>
  <c r="J32" i="86"/>
  <c r="J31" i="86"/>
  <c r="J30" i="86"/>
  <c r="J29" i="86"/>
  <c r="J28" i="86"/>
  <c r="J27" i="86"/>
  <c r="J26" i="86"/>
  <c r="J25" i="86"/>
  <c r="J24" i="86"/>
  <c r="J23" i="86"/>
  <c r="J22" i="86"/>
  <c r="J21" i="86"/>
  <c r="J20" i="86"/>
  <c r="J19" i="86"/>
  <c r="J18" i="86"/>
  <c r="J17" i="86"/>
  <c r="J16" i="86"/>
  <c r="J15" i="86"/>
  <c r="J14" i="86"/>
  <c r="J13" i="86"/>
  <c r="J12" i="86"/>
  <c r="J11" i="86"/>
  <c r="I34" i="85"/>
  <c r="H34" i="85"/>
  <c r="G34" i="85"/>
  <c r="F34" i="85"/>
  <c r="E34" i="85"/>
  <c r="J33" i="85"/>
  <c r="J32" i="85"/>
  <c r="J31" i="85"/>
  <c r="J30" i="85"/>
  <c r="J29" i="85"/>
  <c r="J28" i="85"/>
  <c r="J27" i="85"/>
  <c r="J26" i="85"/>
  <c r="J25" i="85"/>
  <c r="J24" i="85"/>
  <c r="J23" i="85"/>
  <c r="J22" i="85"/>
  <c r="J21" i="85"/>
  <c r="J20" i="85"/>
  <c r="J19" i="85"/>
  <c r="J18" i="85"/>
  <c r="J17" i="85"/>
  <c r="J16" i="85"/>
  <c r="J15" i="85"/>
  <c r="J14" i="85"/>
  <c r="J13" i="85"/>
  <c r="J12" i="85"/>
  <c r="J11" i="85"/>
  <c r="I34" i="84"/>
  <c r="H34" i="84"/>
  <c r="G34" i="84"/>
  <c r="F34" i="84"/>
  <c r="E34" i="84"/>
  <c r="J33" i="84"/>
  <c r="J32" i="84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I34" i="83"/>
  <c r="H34" i="83"/>
  <c r="G34" i="83"/>
  <c r="F34" i="83"/>
  <c r="E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I34" i="82"/>
  <c r="H34" i="82"/>
  <c r="G34" i="82"/>
  <c r="F34" i="82"/>
  <c r="E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I34" i="81"/>
  <c r="H34" i="81"/>
  <c r="G34" i="81"/>
  <c r="F34" i="81"/>
  <c r="E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I34" i="80"/>
  <c r="H34" i="80"/>
  <c r="G34" i="80"/>
  <c r="F34" i="80"/>
  <c r="E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I34" i="79"/>
  <c r="H34" i="79"/>
  <c r="G34" i="79"/>
  <c r="F34" i="79"/>
  <c r="E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I34" i="78"/>
  <c r="H34" i="78"/>
  <c r="G34" i="78"/>
  <c r="F34" i="78"/>
  <c r="E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I34" i="77"/>
  <c r="H34" i="77"/>
  <c r="G34" i="77"/>
  <c r="F34" i="77"/>
  <c r="E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I34" i="76"/>
  <c r="H34" i="76"/>
  <c r="G34" i="76"/>
  <c r="F34" i="76"/>
  <c r="E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I34" i="75"/>
  <c r="H34" i="75"/>
  <c r="G34" i="75"/>
  <c r="F34" i="75"/>
  <c r="E34" i="75"/>
  <c r="J33" i="75"/>
  <c r="J32" i="75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I34" i="74"/>
  <c r="H34" i="74"/>
  <c r="G34" i="74"/>
  <c r="F34" i="74"/>
  <c r="E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J20" i="74"/>
  <c r="J19" i="74"/>
  <c r="J18" i="74"/>
  <c r="J17" i="74"/>
  <c r="J16" i="74"/>
  <c r="J15" i="74"/>
  <c r="J14" i="74"/>
  <c r="J13" i="74"/>
  <c r="J12" i="74"/>
  <c r="J11" i="74"/>
  <c r="I34" i="73"/>
  <c r="H34" i="73"/>
  <c r="G34" i="73"/>
  <c r="F34" i="73"/>
  <c r="E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I34" i="72"/>
  <c r="H34" i="72"/>
  <c r="G34" i="72"/>
  <c r="F34" i="72"/>
  <c r="E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I34" i="71"/>
  <c r="H34" i="71"/>
  <c r="G34" i="71"/>
  <c r="F34" i="71"/>
  <c r="E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I34" i="70"/>
  <c r="H34" i="70"/>
  <c r="G34" i="70"/>
  <c r="F34" i="70"/>
  <c r="E34" i="70"/>
  <c r="J33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I34" i="69"/>
  <c r="H34" i="69"/>
  <c r="G34" i="69"/>
  <c r="F34" i="69"/>
  <c r="E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1" i="69"/>
  <c r="J20" i="69"/>
  <c r="J19" i="69"/>
  <c r="J18" i="69"/>
  <c r="J17" i="69"/>
  <c r="J16" i="69"/>
  <c r="J15" i="69"/>
  <c r="J14" i="69"/>
  <c r="J13" i="69"/>
  <c r="J12" i="69"/>
  <c r="J11" i="69"/>
  <c r="I34" i="68"/>
  <c r="H34" i="68"/>
  <c r="G34" i="68"/>
  <c r="F34" i="68"/>
  <c r="E34" i="68"/>
  <c r="J33" i="68"/>
  <c r="J32" i="68"/>
  <c r="J31" i="68"/>
  <c r="J30" i="68"/>
  <c r="J29" i="68"/>
  <c r="J28" i="68"/>
  <c r="J27" i="68"/>
  <c r="J26" i="68"/>
  <c r="J25" i="68"/>
  <c r="J24" i="68"/>
  <c r="J23" i="68"/>
  <c r="J22" i="68"/>
  <c r="J21" i="68"/>
  <c r="J20" i="68"/>
  <c r="J19" i="68"/>
  <c r="J18" i="68"/>
  <c r="J17" i="68"/>
  <c r="J16" i="68"/>
  <c r="J15" i="68"/>
  <c r="J14" i="68"/>
  <c r="J13" i="68"/>
  <c r="J12" i="68"/>
  <c r="J11" i="68"/>
  <c r="I34" i="67"/>
  <c r="H34" i="67"/>
  <c r="G34" i="67"/>
  <c r="F34" i="67"/>
  <c r="E34" i="67"/>
  <c r="J33" i="67"/>
  <c r="J32" i="67"/>
  <c r="J31" i="67"/>
  <c r="J30" i="67"/>
  <c r="J29" i="67"/>
  <c r="J28" i="67"/>
  <c r="J27" i="67"/>
  <c r="J26" i="67"/>
  <c r="J25" i="67"/>
  <c r="J24" i="67"/>
  <c r="J23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34" i="66"/>
  <c r="H34" i="66"/>
  <c r="G34" i="66"/>
  <c r="F34" i="66"/>
  <c r="E34" i="66"/>
  <c r="J33" i="66"/>
  <c r="J32" i="66"/>
  <c r="J31" i="66"/>
  <c r="J30" i="66"/>
  <c r="J29" i="66"/>
  <c r="J28" i="66"/>
  <c r="J27" i="66"/>
  <c r="J26" i="66"/>
  <c r="J25" i="66"/>
  <c r="J24" i="66"/>
  <c r="J23" i="66"/>
  <c r="J22" i="66"/>
  <c r="J21" i="66"/>
  <c r="J20" i="66"/>
  <c r="J19" i="66"/>
  <c r="J18" i="66"/>
  <c r="J17" i="66"/>
  <c r="J16" i="66"/>
  <c r="J15" i="66"/>
  <c r="J14" i="66"/>
  <c r="J13" i="66"/>
  <c r="J12" i="66"/>
  <c r="J11" i="66"/>
  <c r="I34" i="65"/>
  <c r="H34" i="65"/>
  <c r="G34" i="65"/>
  <c r="F34" i="65"/>
  <c r="E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I34" i="64"/>
  <c r="H34" i="64"/>
  <c r="G34" i="64"/>
  <c r="F34" i="64"/>
  <c r="E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I34" i="63"/>
  <c r="H34" i="63"/>
  <c r="G34" i="63"/>
  <c r="F34" i="63"/>
  <c r="E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I34" i="62"/>
  <c r="H34" i="62"/>
  <c r="G34" i="62"/>
  <c r="F34" i="62"/>
  <c r="E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I34" i="61"/>
  <c r="H34" i="61"/>
  <c r="G34" i="61"/>
  <c r="F34" i="61"/>
  <c r="E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I34" i="60"/>
  <c r="H34" i="60"/>
  <c r="G34" i="60"/>
  <c r="F34" i="60"/>
  <c r="E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I34" i="59"/>
  <c r="H34" i="59"/>
  <c r="G34" i="59"/>
  <c r="F34" i="59"/>
  <c r="E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I34" i="58"/>
  <c r="H34" i="58"/>
  <c r="G34" i="58"/>
  <c r="F34" i="58"/>
  <c r="E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I34" i="57"/>
  <c r="H34" i="57"/>
  <c r="G34" i="57"/>
  <c r="F34" i="57"/>
  <c r="E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I34" i="28"/>
  <c r="H34" i="28"/>
  <c r="G34" i="28"/>
  <c r="F34" i="28"/>
  <c r="E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I34" i="27"/>
  <c r="H34" i="27"/>
  <c r="G34" i="27"/>
  <c r="F34" i="27"/>
  <c r="E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I34" i="26"/>
  <c r="H34" i="26"/>
  <c r="G34" i="26"/>
  <c r="F34" i="26"/>
  <c r="E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I34" i="25"/>
  <c r="H34" i="25"/>
  <c r="G34" i="25"/>
  <c r="F34" i="25"/>
  <c r="E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I34" i="24"/>
  <c r="H34" i="24"/>
  <c r="G34" i="24"/>
  <c r="F34" i="24"/>
  <c r="E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I34" i="23"/>
  <c r="H34" i="23"/>
  <c r="G34" i="23"/>
  <c r="F34" i="23"/>
  <c r="E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I34" i="22"/>
  <c r="H34" i="22"/>
  <c r="G34" i="22"/>
  <c r="F34" i="22"/>
  <c r="E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I34" i="21"/>
  <c r="H34" i="21"/>
  <c r="G34" i="21"/>
  <c r="F34" i="21"/>
  <c r="E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I34" i="20"/>
  <c r="H34" i="20"/>
  <c r="G34" i="20"/>
  <c r="F34" i="20"/>
  <c r="E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I34" i="19"/>
  <c r="H34" i="19"/>
  <c r="G34" i="19"/>
  <c r="F34" i="19"/>
  <c r="E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I34" i="18"/>
  <c r="H34" i="18"/>
  <c r="G34" i="18"/>
  <c r="F34" i="18"/>
  <c r="E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M54" i="17"/>
  <c r="M54" i="18"/>
  <c r="M54" i="19"/>
  <c r="M54" i="20"/>
  <c r="M54" i="21"/>
  <c r="M54" i="22"/>
  <c r="M54" i="23"/>
  <c r="M54" i="24"/>
  <c r="M54" i="25"/>
  <c r="M54" i="26"/>
  <c r="M54" i="27"/>
  <c r="M54" i="28"/>
  <c r="M54" i="57"/>
  <c r="M54" i="58"/>
  <c r="M54" i="59"/>
  <c r="M54" i="60"/>
  <c r="M54" i="61"/>
  <c r="M54" i="62"/>
  <c r="M54" i="63"/>
  <c r="M54" i="64"/>
  <c r="M54" i="65"/>
  <c r="M54" i="66"/>
  <c r="M54" i="67"/>
  <c r="M54" i="68"/>
  <c r="M54" i="69"/>
  <c r="M54" i="70"/>
  <c r="M54" i="71"/>
  <c r="M54" i="72"/>
  <c r="M54" i="73"/>
  <c r="M54" i="74"/>
  <c r="M54" i="75"/>
  <c r="M54" i="76"/>
  <c r="M54" i="77"/>
  <c r="M54" i="78"/>
  <c r="M54" i="79"/>
  <c r="M54" i="80"/>
  <c r="M54" i="81"/>
  <c r="M54" i="82"/>
  <c r="M54" i="83"/>
  <c r="M54" i="84"/>
  <c r="M54" i="85"/>
  <c r="M54" i="86"/>
  <c r="M54" i="87"/>
  <c r="M54" i="88"/>
  <c r="M54" i="89"/>
  <c r="M54" i="90"/>
  <c r="M54" i="91"/>
  <c r="M54" i="92"/>
  <c r="M54" i="93"/>
  <c r="M54" i="94"/>
  <c r="M54" i="95"/>
  <c r="M44" i="17"/>
  <c r="M44" i="18"/>
  <c r="M44" i="19"/>
  <c r="M44" i="20"/>
  <c r="M44" i="21"/>
  <c r="M44" i="22"/>
  <c r="M44" i="23"/>
  <c r="M44" i="24"/>
  <c r="M44" i="25"/>
  <c r="M44" i="26"/>
  <c r="M44" i="27"/>
  <c r="M44" i="28"/>
  <c r="M44" i="57"/>
  <c r="M44" i="58"/>
  <c r="M44" i="59"/>
  <c r="M44" i="60"/>
  <c r="M44" i="61"/>
  <c r="M44" i="62"/>
  <c r="M44" i="63"/>
  <c r="M44" i="64"/>
  <c r="M44" i="65"/>
  <c r="M44" i="66"/>
  <c r="M44" i="67"/>
  <c r="M44" i="68"/>
  <c r="M44" i="69"/>
  <c r="M44" i="70"/>
  <c r="M44" i="71"/>
  <c r="M44" i="72"/>
  <c r="M44" i="73"/>
  <c r="M44" i="74"/>
  <c r="M44" i="75"/>
  <c r="M44" i="76"/>
  <c r="M44" i="77"/>
  <c r="M44" i="78"/>
  <c r="M44" i="79"/>
  <c r="M44" i="80"/>
  <c r="M44" i="81"/>
  <c r="M44" i="82"/>
  <c r="M44" i="83"/>
  <c r="M44" i="84"/>
  <c r="M44" i="85"/>
  <c r="M44" i="86"/>
  <c r="M44" i="87"/>
  <c r="M44" i="88"/>
  <c r="M44" i="89"/>
  <c r="M44" i="90"/>
  <c r="M44" i="91"/>
  <c r="M44" i="92"/>
  <c r="M44" i="93"/>
  <c r="M44" i="94"/>
  <c r="M44" i="95"/>
  <c r="M43" i="17"/>
  <c r="M43" i="18"/>
  <c r="M43" i="19"/>
  <c r="M43" i="20"/>
  <c r="M43" i="21"/>
  <c r="M43" i="22"/>
  <c r="M43" i="23"/>
  <c r="M43" i="24"/>
  <c r="M43" i="25"/>
  <c r="M43" i="26"/>
  <c r="M43" i="27"/>
  <c r="M43" i="28"/>
  <c r="M43" i="57"/>
  <c r="M43" i="58"/>
  <c r="M43" i="59"/>
  <c r="M43" i="60"/>
  <c r="M43" i="61"/>
  <c r="M43" i="62"/>
  <c r="M43" i="63"/>
  <c r="M43" i="64"/>
  <c r="M43" i="65"/>
  <c r="M43" i="66"/>
  <c r="M43" i="67"/>
  <c r="M43" i="68"/>
  <c r="M43" i="69"/>
  <c r="M43" i="70"/>
  <c r="M43" i="71"/>
  <c r="M43" i="72"/>
  <c r="M43" i="73"/>
  <c r="M43" i="74"/>
  <c r="M43" i="75"/>
  <c r="M43" i="76"/>
  <c r="M43" i="77"/>
  <c r="M43" i="78"/>
  <c r="M43" i="79"/>
  <c r="M43" i="80"/>
  <c r="M43" i="81"/>
  <c r="M43" i="82"/>
  <c r="M43" i="83"/>
  <c r="M43" i="84"/>
  <c r="M43" i="85"/>
  <c r="M43" i="86"/>
  <c r="M43" i="87"/>
  <c r="M43" i="88"/>
  <c r="M43" i="89"/>
  <c r="M43" i="90"/>
  <c r="M43" i="91"/>
  <c r="M43" i="92"/>
  <c r="M43" i="93"/>
  <c r="M43" i="94"/>
  <c r="M43" i="95"/>
  <c r="M36" i="17"/>
  <c r="M36" i="18"/>
  <c r="M36" i="19"/>
  <c r="M36" i="20"/>
  <c r="M36" i="21"/>
  <c r="M36" i="22"/>
  <c r="M36" i="23"/>
  <c r="M36" i="24"/>
  <c r="M36" i="25"/>
  <c r="M36" i="26"/>
  <c r="M36" i="27"/>
  <c r="M36" i="28"/>
  <c r="M36" i="57"/>
  <c r="M36" i="58"/>
  <c r="M36" i="59"/>
  <c r="M36" i="60"/>
  <c r="M36" i="61"/>
  <c r="M36" i="62"/>
  <c r="M36" i="63"/>
  <c r="M36" i="64"/>
  <c r="M36" i="65"/>
  <c r="M36" i="66"/>
  <c r="M36" i="67"/>
  <c r="M36" i="68"/>
  <c r="M36" i="69"/>
  <c r="M36" i="70"/>
  <c r="M36" i="71"/>
  <c r="M36" i="72"/>
  <c r="M36" i="73"/>
  <c r="M36" i="74"/>
  <c r="M36" i="75"/>
  <c r="M36" i="76"/>
  <c r="M36" i="77"/>
  <c r="M36" i="78"/>
  <c r="M36" i="79"/>
  <c r="M36" i="80"/>
  <c r="M36" i="81"/>
  <c r="M36" i="82"/>
  <c r="M36" i="83"/>
  <c r="M36" i="84"/>
  <c r="M36" i="85"/>
  <c r="M36" i="86"/>
  <c r="M36" i="87"/>
  <c r="M36" i="88"/>
  <c r="M36" i="89"/>
  <c r="M36" i="90"/>
  <c r="M36" i="91"/>
  <c r="M36" i="92"/>
  <c r="M36" i="93"/>
  <c r="M36" i="94"/>
  <c r="M36" i="95"/>
  <c r="H48" i="2" l="1"/>
  <c r="H47" i="2"/>
  <c r="H49" i="2"/>
  <c r="H39" i="2"/>
  <c r="H46" i="2"/>
  <c r="H45" i="2"/>
  <c r="H43" i="2"/>
  <c r="H38" i="2"/>
  <c r="H44" i="2"/>
  <c r="J34" i="22"/>
  <c r="J34" i="24"/>
  <c r="H37" i="2"/>
  <c r="H34" i="2"/>
  <c r="H36" i="2"/>
  <c r="H35" i="2"/>
  <c r="J34" i="58"/>
  <c r="J34" i="60"/>
  <c r="J34" i="64"/>
  <c r="J34" i="72"/>
  <c r="J34" i="74"/>
  <c r="J34" i="76"/>
  <c r="J34" i="78"/>
  <c r="J34" i="95"/>
  <c r="H31" i="2"/>
  <c r="J34" i="18"/>
  <c r="J34" i="20"/>
  <c r="J34" i="23"/>
  <c r="J34" i="26"/>
  <c r="J34" i="28"/>
  <c r="J34" i="62"/>
  <c r="J34" i="63"/>
  <c r="J34" i="65"/>
  <c r="J34" i="66"/>
  <c r="J34" i="68"/>
  <c r="J34" i="70"/>
  <c r="J34" i="80"/>
  <c r="J34" i="82"/>
  <c r="J34" i="84"/>
  <c r="J34" i="86"/>
  <c r="J34" i="88"/>
  <c r="J34" i="90"/>
  <c r="J34" i="92"/>
  <c r="J34" i="93"/>
  <c r="J34" i="94"/>
  <c r="J34" i="19"/>
  <c r="J34" i="21"/>
  <c r="J34" i="25"/>
  <c r="J34" i="27"/>
  <c r="J34" i="57"/>
  <c r="J34" i="59"/>
  <c r="J34" i="61"/>
  <c r="J34" i="67"/>
  <c r="J34" i="69"/>
  <c r="J34" i="71"/>
  <c r="J34" i="73"/>
  <c r="J34" i="75"/>
  <c r="J34" i="77"/>
  <c r="J34" i="79"/>
  <c r="J34" i="81"/>
  <c r="J34" i="83"/>
  <c r="J34" i="85"/>
  <c r="J34" i="87"/>
  <c r="J34" i="89"/>
  <c r="J34" i="91"/>
  <c r="M35" i="17"/>
  <c r="M34" i="17" l="1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7" i="17"/>
  <c r="M16" i="17"/>
  <c r="M15" i="17"/>
  <c r="M14" i="17"/>
  <c r="M13" i="17"/>
  <c r="M12" i="17"/>
  <c r="M11" i="17"/>
  <c r="M10" i="17"/>
  <c r="M9" i="17"/>
  <c r="I34" i="17"/>
  <c r="H34" i="17"/>
  <c r="G34" i="17"/>
  <c r="F34" i="17"/>
  <c r="E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35" i="24"/>
  <c r="M34" i="24"/>
  <c r="M33" i="24"/>
  <c r="M32" i="24"/>
  <c r="M31" i="24"/>
  <c r="M30" i="24"/>
  <c r="M29" i="24"/>
  <c r="M28" i="24"/>
  <c r="M27" i="24"/>
  <c r="M26" i="24"/>
  <c r="M25" i="24"/>
  <c r="M24" i="24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35" i="28"/>
  <c r="M34" i="28"/>
  <c r="M33" i="28"/>
  <c r="M32" i="28"/>
  <c r="M31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35" i="57"/>
  <c r="M34" i="57"/>
  <c r="M33" i="57"/>
  <c r="M32" i="57"/>
  <c r="M31" i="57"/>
  <c r="M30" i="57"/>
  <c r="M29" i="57"/>
  <c r="M28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35" i="58"/>
  <c r="M34" i="58"/>
  <c r="M33" i="58"/>
  <c r="M32" i="58"/>
  <c r="M31" i="58"/>
  <c r="M30" i="58"/>
  <c r="M29" i="58"/>
  <c r="M28" i="58"/>
  <c r="M27" i="58"/>
  <c r="M26" i="58"/>
  <c r="M25" i="58"/>
  <c r="M24" i="58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35" i="59"/>
  <c r="M34" i="59"/>
  <c r="M33" i="59"/>
  <c r="M32" i="59"/>
  <c r="M31" i="59"/>
  <c r="M30" i="59"/>
  <c r="M29" i="59"/>
  <c r="M28" i="59"/>
  <c r="M27" i="59"/>
  <c r="M26" i="59"/>
  <c r="M25" i="59"/>
  <c r="M24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35" i="60"/>
  <c r="M34" i="60"/>
  <c r="M33" i="60"/>
  <c r="M32" i="60"/>
  <c r="M31" i="60"/>
  <c r="M30" i="60"/>
  <c r="M29" i="60"/>
  <c r="M28" i="60"/>
  <c r="M27" i="60"/>
  <c r="M26" i="60"/>
  <c r="M25" i="60"/>
  <c r="M24" i="60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35" i="61"/>
  <c r="M34" i="61"/>
  <c r="M33" i="61"/>
  <c r="M32" i="61"/>
  <c r="M31" i="61"/>
  <c r="M30" i="61"/>
  <c r="M29" i="61"/>
  <c r="M28" i="61"/>
  <c r="M27" i="61"/>
  <c r="M26" i="61"/>
  <c r="M25" i="61"/>
  <c r="M24" i="61"/>
  <c r="M23" i="6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35" i="63"/>
  <c r="M34" i="63"/>
  <c r="M33" i="63"/>
  <c r="M32" i="63"/>
  <c r="M31" i="63"/>
  <c r="M30" i="63"/>
  <c r="M29" i="63"/>
  <c r="M28" i="63"/>
  <c r="M27" i="63"/>
  <c r="M26" i="63"/>
  <c r="M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35" i="64"/>
  <c r="M34" i="64"/>
  <c r="M33" i="64"/>
  <c r="M32" i="64"/>
  <c r="M31" i="64"/>
  <c r="M30" i="64"/>
  <c r="M29" i="64"/>
  <c r="M28" i="64"/>
  <c r="M27" i="64"/>
  <c r="M26" i="64"/>
  <c r="M25" i="64"/>
  <c r="M24" i="64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35" i="65"/>
  <c r="M34" i="65"/>
  <c r="M33" i="65"/>
  <c r="M32" i="65"/>
  <c r="M31" i="65"/>
  <c r="M30" i="65"/>
  <c r="M29" i="65"/>
  <c r="M28" i="65"/>
  <c r="M27" i="65"/>
  <c r="M26" i="65"/>
  <c r="M25" i="65"/>
  <c r="M24" i="65"/>
  <c r="M23" i="65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35" i="67"/>
  <c r="M34" i="67"/>
  <c r="M33" i="67"/>
  <c r="M32" i="67"/>
  <c r="M31" i="67"/>
  <c r="M30" i="67"/>
  <c r="M29" i="67"/>
  <c r="M28" i="67"/>
  <c r="M27" i="67"/>
  <c r="M26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35" i="68"/>
  <c r="M34" i="68"/>
  <c r="M33" i="68"/>
  <c r="M32" i="68"/>
  <c r="M31" i="68"/>
  <c r="M30" i="68"/>
  <c r="M29" i="68"/>
  <c r="M28" i="68"/>
  <c r="M27" i="68"/>
  <c r="M26" i="68"/>
  <c r="M25" i="68"/>
  <c r="M24" i="68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35" i="71"/>
  <c r="M34" i="71"/>
  <c r="M33" i="71"/>
  <c r="M32" i="71"/>
  <c r="M31" i="71"/>
  <c r="M30" i="71"/>
  <c r="M29" i="71"/>
  <c r="M28" i="71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35" i="72"/>
  <c r="M34" i="72"/>
  <c r="M33" i="72"/>
  <c r="M32" i="72"/>
  <c r="M31" i="72"/>
  <c r="M30" i="72"/>
  <c r="M29" i="72"/>
  <c r="M28" i="72"/>
  <c r="M27" i="72"/>
  <c r="M26" i="72"/>
  <c r="M25" i="72"/>
  <c r="M24" i="72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35" i="73"/>
  <c r="M34" i="73"/>
  <c r="M33" i="73"/>
  <c r="M32" i="73"/>
  <c r="M31" i="73"/>
  <c r="M30" i="73"/>
  <c r="M29" i="73"/>
  <c r="M28" i="73"/>
  <c r="M27" i="73"/>
  <c r="M26" i="73"/>
  <c r="M25" i="73"/>
  <c r="M24" i="73"/>
  <c r="M23" i="73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35" i="74"/>
  <c r="M34" i="74"/>
  <c r="M33" i="74"/>
  <c r="M32" i="74"/>
  <c r="M31" i="74"/>
  <c r="M30" i="74"/>
  <c r="M29" i="74"/>
  <c r="M28" i="74"/>
  <c r="M27" i="74"/>
  <c r="M26" i="74"/>
  <c r="M25" i="74"/>
  <c r="M24" i="74"/>
  <c r="M23" i="74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35" i="75"/>
  <c r="M34" i="75"/>
  <c r="M33" i="75"/>
  <c r="M32" i="75"/>
  <c r="M31" i="75"/>
  <c r="M30" i="75"/>
  <c r="M29" i="75"/>
  <c r="M28" i="75"/>
  <c r="M27" i="75"/>
  <c r="M26" i="75"/>
  <c r="M25" i="75"/>
  <c r="M24" i="75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35" i="77"/>
  <c r="M34" i="77"/>
  <c r="M33" i="77"/>
  <c r="M32" i="77"/>
  <c r="M31" i="77"/>
  <c r="M30" i="77"/>
  <c r="M29" i="77"/>
  <c r="M28" i="77"/>
  <c r="M27" i="77"/>
  <c r="M26" i="77"/>
  <c r="M25" i="77"/>
  <c r="M24" i="77"/>
  <c r="M23" i="77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35" i="78"/>
  <c r="M34" i="78"/>
  <c r="M33" i="78"/>
  <c r="M32" i="78"/>
  <c r="M31" i="78"/>
  <c r="M30" i="78"/>
  <c r="M29" i="78"/>
  <c r="M28" i="78"/>
  <c r="M27" i="78"/>
  <c r="M26" i="78"/>
  <c r="M25" i="78"/>
  <c r="M24" i="78"/>
  <c r="M23" i="78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35" i="79"/>
  <c r="M34" i="79"/>
  <c r="M33" i="79"/>
  <c r="M32" i="79"/>
  <c r="M31" i="79"/>
  <c r="M30" i="79"/>
  <c r="M29" i="79"/>
  <c r="M28" i="79"/>
  <c r="M27" i="79"/>
  <c r="M26" i="79"/>
  <c r="M25" i="79"/>
  <c r="M24" i="79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35" i="80"/>
  <c r="M34" i="80"/>
  <c r="M33" i="80"/>
  <c r="M32" i="80"/>
  <c r="M31" i="80"/>
  <c r="M30" i="80"/>
  <c r="M29" i="80"/>
  <c r="M28" i="80"/>
  <c r="M27" i="80"/>
  <c r="M26" i="80"/>
  <c r="M25" i="80"/>
  <c r="M24" i="80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35" i="81"/>
  <c r="M34" i="81"/>
  <c r="M33" i="81"/>
  <c r="M32" i="81"/>
  <c r="M31" i="81"/>
  <c r="M30" i="81"/>
  <c r="M29" i="81"/>
  <c r="M28" i="81"/>
  <c r="M27" i="81"/>
  <c r="M26" i="81"/>
  <c r="M25" i="81"/>
  <c r="M24" i="81"/>
  <c r="M23" i="8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9" i="90"/>
  <c r="M10" i="90"/>
  <c r="M18" i="17" l="1"/>
  <c r="H13" i="2" s="1"/>
  <c r="M46" i="17"/>
  <c r="H40" i="2" s="1"/>
  <c r="H30" i="2"/>
  <c r="H11" i="2"/>
  <c r="H20" i="2"/>
  <c r="H28" i="2"/>
  <c r="H4" i="2"/>
  <c r="H12" i="2"/>
  <c r="H21" i="2"/>
  <c r="H29" i="2"/>
  <c r="H5" i="2"/>
  <c r="H14" i="2"/>
  <c r="H22" i="2"/>
  <c r="H19" i="2"/>
  <c r="H6" i="2"/>
  <c r="H15" i="2"/>
  <c r="H23" i="2"/>
  <c r="H27" i="2"/>
  <c r="H7" i="2"/>
  <c r="H16" i="2"/>
  <c r="H24" i="2"/>
  <c r="H10" i="2"/>
  <c r="H8" i="2"/>
  <c r="H17" i="2"/>
  <c r="H25" i="2"/>
  <c r="H9" i="2"/>
  <c r="H18" i="2"/>
  <c r="H26" i="2"/>
  <c r="J34" i="17"/>
</calcChain>
</file>

<file path=xl/sharedStrings.xml><?xml version="1.0" encoding="utf-8"?>
<sst xmlns="http://schemas.openxmlformats.org/spreadsheetml/2006/main" count="3324" uniqueCount="160">
  <si>
    <t>Nom:</t>
  </si>
  <si>
    <t>PROJET</t>
  </si>
  <si>
    <t>ENSEMBLE</t>
  </si>
  <si>
    <t>TACHES</t>
  </si>
  <si>
    <t xml:space="preserve">STRUCTURE </t>
  </si>
  <si>
    <t>LUNDI</t>
  </si>
  <si>
    <t>MARDI</t>
  </si>
  <si>
    <t>MERCREDI</t>
  </si>
  <si>
    <t xml:space="preserve">JEUDI </t>
  </si>
  <si>
    <t xml:space="preserve">VENDREDI </t>
  </si>
  <si>
    <t>TOTAL</t>
  </si>
  <si>
    <t>Date:</t>
  </si>
  <si>
    <t>CARLINGAGE</t>
  </si>
  <si>
    <t xml:space="preserve">FEUILLE DE POINTAGE </t>
  </si>
  <si>
    <t>GESTION PROJET</t>
  </si>
  <si>
    <t>REUNION</t>
  </si>
  <si>
    <t>METIER</t>
  </si>
  <si>
    <t>S42 - Du 16 au 20 Octobre 2023</t>
  </si>
  <si>
    <t>S41 - Du 09 au 13 Octobre 2023</t>
  </si>
  <si>
    <t>S43 - Du 23 au 27 Octobre 2023</t>
  </si>
  <si>
    <t>S44 - Du 30 Octobre au 03 Novembre 2023</t>
  </si>
  <si>
    <t>S45 - Du 06 au 10 Novembre 2023</t>
  </si>
  <si>
    <t>S46 - Du 13 au 17 Novembre 2023</t>
  </si>
  <si>
    <t>S47 - Du 20 au 24 Novembre 2023</t>
  </si>
  <si>
    <t>S48 - Du 27 Novembre au 01 Décembre 2023</t>
  </si>
  <si>
    <t>S49 - Du 04 au 08 Décembre 2023</t>
  </si>
  <si>
    <t>S50 - Du 11 au 15 Décembre 2023</t>
  </si>
  <si>
    <t>S51 - Du 18 au 22 Décembre 2023</t>
  </si>
  <si>
    <t>S52 - Du 25 au 29 Décembre 2023</t>
  </si>
  <si>
    <t>06</t>
  </si>
  <si>
    <t>08</t>
  </si>
  <si>
    <t>07</t>
  </si>
  <si>
    <t>09</t>
  </si>
  <si>
    <t>17</t>
  </si>
  <si>
    <t>24</t>
  </si>
  <si>
    <t>22</t>
  </si>
  <si>
    <t>23</t>
  </si>
  <si>
    <t>CMN</t>
  </si>
  <si>
    <t>ENSEMBLE PH</t>
  </si>
  <si>
    <t>14B</t>
  </si>
  <si>
    <t>14H</t>
  </si>
  <si>
    <t>15B</t>
  </si>
  <si>
    <t>15H</t>
  </si>
  <si>
    <t>16B</t>
  </si>
  <si>
    <t>16H</t>
  </si>
  <si>
    <t>S01 - Du 01 au 05 Janvier 2024</t>
  </si>
  <si>
    <t>S02 - Du 08 au 12 Janvier 2024</t>
  </si>
  <si>
    <t>S03 - Du 15 au 19 Janvier 2024</t>
  </si>
  <si>
    <t>S04 - Du 22 au 26 Janvier 2024</t>
  </si>
  <si>
    <t>S06 - Du 05 au 09 Février 2024</t>
  </si>
  <si>
    <t>S05 - Du 29 Janvier au 02 Février 2024</t>
  </si>
  <si>
    <t>S07 - Du 12 au 16 Février 2024</t>
  </si>
  <si>
    <t>S09 - Du 26 Février au 01 Mars 2024</t>
  </si>
  <si>
    <t>S08 - Du 19  au 23 Février 2024</t>
  </si>
  <si>
    <t>S10 - Du 04 au 08 Mars 2024</t>
  </si>
  <si>
    <t>S11 - Du 11 au 15 Mars 2024</t>
  </si>
  <si>
    <t>S12 - Du 18 au 22 Mars 2024</t>
  </si>
  <si>
    <t>S13 - Du 25 au 29 Mars 2024</t>
  </si>
  <si>
    <t>S14 - Du 01 au 05 Avril 2024</t>
  </si>
  <si>
    <t>S15 - Du 08 au 12 Avril 2024</t>
  </si>
  <si>
    <t>S16 - Du 15 au 19 Avril 2024</t>
  </si>
  <si>
    <t>S17 - Du 22 au 26 Avril 2024</t>
  </si>
  <si>
    <t>S18 - Du 29 Avril au 03 Mai 2024</t>
  </si>
  <si>
    <t>S19 - Du 06 au 10 Mai 2024</t>
  </si>
  <si>
    <t>S20 - Du 13 au 17 Mai 2024</t>
  </si>
  <si>
    <t>S21 - Du 20 au 24 Mai 2024</t>
  </si>
  <si>
    <t>S22 - Du 27 au 31 Mai 2024</t>
  </si>
  <si>
    <t>S23 - Du 03 au 07 Juin 2024</t>
  </si>
  <si>
    <t>S24 - Du 10 au 14 Juin 2024</t>
  </si>
  <si>
    <t>S25 - Du 17 au 21 Juin 2024</t>
  </si>
  <si>
    <t>S26 - Du 24 au 28 Juin 2024</t>
  </si>
  <si>
    <t>S27 - Du 01 au 05 Juillet 2024</t>
  </si>
  <si>
    <t>S28 - Du 08 au 12 Juillet 2024</t>
  </si>
  <si>
    <t>S29 - Du15 au 19 Juillet 2024</t>
  </si>
  <si>
    <t>S30 - Du 22 au 26 Juillet 2024</t>
  </si>
  <si>
    <t>S31 - Du 29 Juillet au 02 Août 2024</t>
  </si>
  <si>
    <t>S32 - Du 05 au 09 Août 2024</t>
  </si>
  <si>
    <t>S33 - Du 12 au 16 Août 2024</t>
  </si>
  <si>
    <t>S34 - Du 19 au 23 Août 2024</t>
  </si>
  <si>
    <t>S35 - Du 26 au 30 Août 2024</t>
  </si>
  <si>
    <t>S36 - Du 02 au 06 Septembre 2024</t>
  </si>
  <si>
    <t>S37 - Du 09 au 13 Septembre 2024</t>
  </si>
  <si>
    <t>S38 - Du 16 au 20 Septembre 2024</t>
  </si>
  <si>
    <t>S39 - Du 23 au 27 Septembre 2024</t>
  </si>
  <si>
    <t>06 SDD</t>
  </si>
  <si>
    <t>06 INDUS</t>
  </si>
  <si>
    <t>07 SDD</t>
  </si>
  <si>
    <t>07 INDUS</t>
  </si>
  <si>
    <t>08 SDD</t>
  </si>
  <si>
    <t>08 INDUS</t>
  </si>
  <si>
    <t>09 SDD</t>
  </si>
  <si>
    <t>09 INDUS</t>
  </si>
  <si>
    <t>14B SDD</t>
  </si>
  <si>
    <t>14B INDUS</t>
  </si>
  <si>
    <t>14H SDD</t>
  </si>
  <si>
    <t>14H INDUS</t>
  </si>
  <si>
    <t>15B SDD</t>
  </si>
  <si>
    <t>15H INDUS</t>
  </si>
  <si>
    <t>15B INDUS</t>
  </si>
  <si>
    <t>15H SDD</t>
  </si>
  <si>
    <t>16B SDD</t>
  </si>
  <si>
    <t>16B INDUS</t>
  </si>
  <si>
    <t>16H SDD</t>
  </si>
  <si>
    <t>16H INDUS</t>
  </si>
  <si>
    <t>17 SDD</t>
  </si>
  <si>
    <t>17 INDUS</t>
  </si>
  <si>
    <t>22 SDD</t>
  </si>
  <si>
    <t>22 INDUS</t>
  </si>
  <si>
    <t>23 SDD</t>
  </si>
  <si>
    <t>23 INDUS</t>
  </si>
  <si>
    <t>24 SDD</t>
  </si>
  <si>
    <t>24 INDUS</t>
  </si>
  <si>
    <t>FONCTION</t>
  </si>
  <si>
    <t>FORMATION</t>
  </si>
  <si>
    <t>COLLABORATEURS</t>
  </si>
  <si>
    <t>Prénom - NOM</t>
  </si>
  <si>
    <t>Collaborateurs Actif</t>
  </si>
  <si>
    <t>Copie du fichier</t>
  </si>
  <si>
    <t xml:space="preserve">Emplacement du futur fichier : </t>
  </si>
  <si>
    <t xml:space="preserve">Emplacement du fihcier source : </t>
  </si>
  <si>
    <t>\\AGIR\BE-Lorient\Administratif\Gestion personnel\Pointages\Suivi heures\OLD\</t>
  </si>
  <si>
    <t>SYNTHESE SEMAINE</t>
  </si>
  <si>
    <t>MISE EN DONNEE</t>
  </si>
  <si>
    <t>ACTION ADMINISTRATEUR</t>
  </si>
  <si>
    <t>SYNTHESE PROJET COLLABORATEUR</t>
  </si>
  <si>
    <t>TOTAL COLLABORATEURS</t>
  </si>
  <si>
    <t>AUTRE</t>
  </si>
  <si>
    <t>SYNTHESE ENSEMBLE CMN</t>
  </si>
  <si>
    <t>SDD</t>
  </si>
  <si>
    <t>INDUS</t>
  </si>
  <si>
    <t>SYNTHESE FONCTION CMN</t>
  </si>
  <si>
    <t>STRUCTURE</t>
  </si>
  <si>
    <t>SYNTHESE FONCTION AUTRE</t>
  </si>
  <si>
    <t>Brigitte VELLY</t>
  </si>
  <si>
    <t>Jean-Marie COLONNE</t>
  </si>
  <si>
    <t>Martin BERTHO</t>
  </si>
  <si>
    <t>Olivier GONSE</t>
  </si>
  <si>
    <t>Philippe HAYS</t>
  </si>
  <si>
    <t>Pierre GRAFFION</t>
  </si>
  <si>
    <t>Sébastien LAROSE-BLIN</t>
  </si>
  <si>
    <t>Tanguy MONFORT</t>
  </si>
  <si>
    <t>Yohann JAFFREDO</t>
  </si>
  <si>
    <t>Jean-Michel GOURLAN</t>
  </si>
  <si>
    <t>Alexandra VAUGRENARD</t>
  </si>
  <si>
    <t>Philippe LE MESTRE</t>
  </si>
  <si>
    <t>PANNE INFORMATIQUE</t>
  </si>
  <si>
    <t>ATTENTE</t>
  </si>
  <si>
    <t>TOTAL 
PREVU</t>
  </si>
  <si>
    <t>PROGRESSION DETAILEE</t>
  </si>
  <si>
    <t>PROGRESSION BLOC</t>
  </si>
  <si>
    <t>TOTAL PROJET</t>
  </si>
  <si>
    <t>TOTAL COLLABORATEUR</t>
  </si>
  <si>
    <t>PROGRESSON PROJET</t>
  </si>
  <si>
    <t>ABSENT</t>
  </si>
  <si>
    <t>Dépassement</t>
  </si>
  <si>
    <t>Alexandre MEDYNSKI</t>
  </si>
  <si>
    <t xml:space="preserve">Avenants </t>
  </si>
  <si>
    <t>Ecubiers</t>
  </si>
  <si>
    <t>Modif puits aux chaines</t>
  </si>
  <si>
    <t>Avenant outil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</si>
</sst>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Up">
        <bgColor theme="0" tint="-4.9989318521683403E-2"/>
      </patternFill>
    </fill>
    <fill>
      <patternFill patternType="solid">
        <fgColor rgb="FFDEFAD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2D050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201">
    <xf numFmtId="0" fontId="0" fillId="0" borderId="0" xfId="0"/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1" fillId="0" borderId="1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0" fillId="0" borderId="15" xfId="0" applyBorder="1"/>
    <xf numFmtId="0" fontId="0" fillId="0" borderId="20" xfId="0" applyBorder="1"/>
    <xf numFmtId="0" fontId="1" fillId="0" borderId="15" xfId="0" applyFont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2" xfId="0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 applyAlignment="1">
      <alignment horizontal="left" vertical="center"/>
    </xf>
    <xf numFmtId="0" fontId="1" fillId="0" borderId="39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40" xfId="0" applyBorder="1" applyAlignment="1">
      <alignment horizontal="left"/>
    </xf>
    <xf numFmtId="0" fontId="1" fillId="0" borderId="37" xfId="0" applyFont="1" applyBorder="1" applyAlignment="1">
      <alignment horizontal="left"/>
    </xf>
    <xf numFmtId="0" fontId="0" fillId="0" borderId="39" xfId="0" applyBorder="1"/>
    <xf numFmtId="0" fontId="0" fillId="0" borderId="38" xfId="0" applyBorder="1"/>
    <xf numFmtId="0" fontId="0" fillId="0" borderId="36" xfId="0" applyBorder="1"/>
    <xf numFmtId="0" fontId="0" fillId="0" borderId="40" xfId="0" applyBorder="1"/>
    <xf numFmtId="0" fontId="0" fillId="0" borderId="37" xfId="0" applyBorder="1"/>
    <xf numFmtId="0" fontId="4" fillId="0" borderId="41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8" fontId="0" fillId="0" borderId="18" xfId="0" applyNumberFormat="1" applyBorder="1" applyAlignment="1" applyProtection="1">
      <alignment horizontal="center" vertical="center"/>
      <protection locked="0"/>
    </xf>
    <xf numFmtId="8" fontId="0" fillId="0" borderId="6" xfId="0" applyNumberFormat="1" applyBorder="1" applyAlignment="1" applyProtection="1">
      <alignment horizontal="center" vertical="center"/>
      <protection locked="0"/>
    </xf>
    <xf numFmtId="8" fontId="0" fillId="0" borderId="7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15" xfId="0" applyFill="1" applyBorder="1" applyAlignment="1">
      <alignment horizontal="center" vertic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42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41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" fillId="0" borderId="45" xfId="0" applyFont="1" applyBorder="1" applyAlignment="1">
      <alignment horizontal="center" vertical="center" wrapText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2" xfId="0" applyBorder="1" applyAlignment="1" applyProtection="1">
      <alignment horizontal="center" vertical="center"/>
      <protection hidden="1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8" xfId="0" applyBorder="1" applyAlignment="1" applyProtection="1">
      <alignment horizontal="center" vertical="center"/>
      <protection hidden="1"/>
    </xf>
    <xf numFmtId="0" fontId="0" fillId="0" borderId="5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49" fontId="0" fillId="0" borderId="60" xfId="0" applyNumberFormat="1" applyBorder="1" applyAlignment="1">
      <alignment horizontal="center"/>
    </xf>
    <xf numFmtId="49" fontId="1" fillId="0" borderId="15" xfId="0" applyNumberFormat="1" applyFont="1" applyBorder="1" applyAlignment="1">
      <alignment horizontal="left"/>
    </xf>
    <xf numFmtId="0" fontId="0" fillId="0" borderId="3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2" xfId="0" applyBorder="1" applyAlignment="1">
      <alignment horizontal="center"/>
    </xf>
    <xf numFmtId="0" fontId="1" fillId="0" borderId="38" xfId="0" applyFont="1" applyBorder="1" applyAlignment="1" applyProtection="1">
      <alignment horizontal="center" vertical="center"/>
      <protection hidden="1"/>
    </xf>
    <xf numFmtId="0" fontId="1" fillId="0" borderId="23" xfId="0" applyFont="1" applyBorder="1" applyAlignment="1">
      <alignment horizontal="center" vertical="center" wrapText="1"/>
    </xf>
    <xf numFmtId="0" fontId="0" fillId="0" borderId="49" xfId="0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60" xfId="0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17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/>
    <xf numFmtId="0" fontId="0" fillId="0" borderId="5" xfId="0" applyBorder="1" applyAlignment="1" applyProtection="1">
      <alignment horizontal="center" vertical="center"/>
      <protection hidden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7" xfId="0" applyBorder="1" applyAlignment="1">
      <alignment wrapText="1"/>
    </xf>
    <xf numFmtId="0" fontId="0" fillId="0" borderId="43" xfId="0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54" xfId="0" applyFill="1" applyBorder="1" applyAlignment="1">
      <alignment horizontal="center"/>
    </xf>
    <xf numFmtId="9" fontId="0" fillId="0" borderId="21" xfId="2" applyFont="1" applyBorder="1" applyAlignment="1">
      <alignment horizontal="center"/>
    </xf>
    <xf numFmtId="9" fontId="0" fillId="0" borderId="49" xfId="2" applyFont="1" applyBorder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50" xfId="2" applyFont="1" applyBorder="1" applyAlignment="1">
      <alignment horizontal="center" vertical="center"/>
    </xf>
    <xf numFmtId="9" fontId="0" fillId="0" borderId="51" xfId="2" applyFont="1" applyBorder="1" applyAlignment="1">
      <alignment horizontal="center" vertical="center"/>
    </xf>
    <xf numFmtId="9" fontId="0" fillId="0" borderId="35" xfId="2" applyFont="1" applyBorder="1" applyAlignment="1">
      <alignment horizontal="center" vertical="center"/>
    </xf>
    <xf numFmtId="9" fontId="0" fillId="0" borderId="57" xfId="2" applyFont="1" applyBorder="1" applyAlignment="1">
      <alignment horizontal="center" vertical="center"/>
    </xf>
    <xf numFmtId="9" fontId="0" fillId="0" borderId="40" xfId="2" applyFont="1" applyBorder="1" applyAlignment="1">
      <alignment horizontal="center" vertical="center"/>
    </xf>
    <xf numFmtId="9" fontId="0" fillId="0" borderId="37" xfId="2" applyFont="1" applyBorder="1" applyAlignment="1">
      <alignment horizontal="center" vertical="center"/>
    </xf>
    <xf numFmtId="9" fontId="0" fillId="0" borderId="55" xfId="2" applyFont="1" applyBorder="1" applyAlignment="1">
      <alignment horizontal="center"/>
    </xf>
    <xf numFmtId="9" fontId="0" fillId="0" borderId="56" xfId="2" applyFont="1" applyBorder="1" applyAlignment="1">
      <alignment horizontal="center"/>
    </xf>
    <xf numFmtId="9" fontId="0" fillId="0" borderId="54" xfId="2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44" xfId="0" applyFont="1" applyBorder="1" applyAlignment="1" applyProtection="1">
      <alignment horizontal="center" vertical="center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9" fontId="0" fillId="0" borderId="34" xfId="2" applyFont="1" applyBorder="1" applyAlignment="1">
      <alignment horizontal="center" vertical="center"/>
    </xf>
    <xf numFmtId="9" fontId="0" fillId="0" borderId="36" xfId="2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</cellXfs>
  <cellStyles count="3">
    <cellStyle name="Lien hypertexte" xfId="1" builtinId="8"/>
    <cellStyle name="Normal" xfId="0" builtinId="0"/>
    <cellStyle name="Pourcentage" xfId="2" builtinId="5"/>
  </cellStyles>
  <dxfs count="4">
    <dxf>
      <fill>
        <patternFill>
          <bgColor rgb="FFCCCCFF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  <dxf>
      <fill>
        <patternFill>
          <bgColor rgb="FFFFCC99"/>
        </patternFill>
      </fill>
    </dxf>
  </dxfs>
  <tableStyles count="0" defaultTableStyle="TableStyleMedium2" defaultPivotStyle="PivotStyleLight16"/>
  <colors>
    <mruColors>
      <color rgb="FFCCCCFF"/>
      <color rgb="FFDEFAD2"/>
      <color rgb="FFCCFFFF"/>
      <color rgb="FFEED57A"/>
      <color rgb="FFFF8181"/>
      <color rgb="FFFFFF99"/>
      <color rgb="FFCC99FF"/>
      <color rgb="FF3399FF"/>
      <color rgb="FFFFCC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METIER CMN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 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E2-4856-95D7-A4DFB88DE844}"/>
              </c:ext>
            </c:extLst>
          </c:dPt>
          <c:dPt>
            <c:idx val="1"/>
            <c:bubble3D val="0"/>
            <c:spPr>
              <a:solidFill>
                <a:srgbClr val="EED57A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E2-4856-95D7-A4DFB88DE844}"/>
              </c:ext>
            </c:extLst>
          </c:dPt>
          <c:dPt>
            <c:idx val="2"/>
            <c:bubble3D val="0"/>
            <c:spPr>
              <a:solidFill>
                <a:srgbClr val="DEFAD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E2-4856-95D7-A4DFB88DE844}"/>
              </c:ext>
            </c:extLst>
          </c:dPt>
          <c:dPt>
            <c:idx val="3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E2-4856-95D7-A4DFB88DE844}"/>
              </c:ext>
            </c:extLst>
          </c:dPt>
          <c:dPt>
            <c:idx val="4"/>
            <c:bubble3D val="0"/>
            <c:spPr>
              <a:solidFill>
                <a:srgbClr val="FF66CC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0E2-4856-95D7-A4DFB88DE844}"/>
              </c:ext>
            </c:extLst>
          </c:dPt>
          <c:dPt>
            <c:idx val="5"/>
            <c:bubble3D val="0"/>
            <c:spPr>
              <a:solidFill>
                <a:srgbClr val="FF818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0E2-4856-95D7-A4DFB88DE844}"/>
              </c:ext>
            </c:extLst>
          </c:dPt>
          <c:dPt>
            <c:idx val="6"/>
            <c:bubble3D val="0"/>
            <c:spPr>
              <a:solidFill>
                <a:srgbClr val="CCFF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E2-4856-95D7-A4DFB88DE8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BILAN!$B$33:$B$39</c:f>
              <c:strCache>
                <c:ptCount val="7"/>
                <c:pt idx="0">
                  <c:v>FORMATION</c:v>
                </c:pt>
                <c:pt idx="1">
                  <c:v>GESTION PROJET</c:v>
                </c:pt>
                <c:pt idx="2">
                  <c:v>REUNION</c:v>
                </c:pt>
                <c:pt idx="3">
                  <c:v>STRUCTURE </c:v>
                </c:pt>
                <c:pt idx="4">
                  <c:v>CARLINGAGE</c:v>
                </c:pt>
                <c:pt idx="5">
                  <c:v>PANNE INFORMATIQUE</c:v>
                </c:pt>
                <c:pt idx="6">
                  <c:v>ATTENTE</c:v>
                </c:pt>
              </c:strCache>
            </c:strRef>
          </c:cat>
          <c:val>
            <c:numRef>
              <c:f>BILAN!$O$33:$O$39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E2-4856-95D7-A4DFB88DE8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30671166104221"/>
          <c:y val="0.37424117439865467"/>
          <c:w val="0.15274090738657667"/>
          <c:h val="0.3409114769744691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742496</xdr:colOff>
      <xdr:row>37</xdr:row>
      <xdr:rowOff>1360</xdr:rowOff>
    </xdr:from>
    <xdr:to>
      <xdr:col>28</xdr:col>
      <xdr:colOff>132896</xdr:colOff>
      <xdr:row>60</xdr:row>
      <xdr:rowOff>134710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1</xdr:row>
          <xdr:rowOff>30480</xdr:rowOff>
        </xdr:from>
        <xdr:to>
          <xdr:col>13</xdr:col>
          <xdr:colOff>7620</xdr:colOff>
          <xdr:row>3</xdr:row>
          <xdr:rowOff>7620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1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 NOM FEUILLE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5</xdr:row>
          <xdr:rowOff>38100</xdr:rowOff>
        </xdr:from>
        <xdr:to>
          <xdr:col>13</xdr:col>
          <xdr:colOff>0</xdr:colOff>
          <xdr:row>7</xdr:row>
          <xdr:rowOff>68580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1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449580</xdr:colOff>
          <xdr:row>10</xdr:row>
          <xdr:rowOff>68580</xdr:rowOff>
        </xdr:from>
        <xdr:to>
          <xdr:col>12</xdr:col>
          <xdr:colOff>1714500</xdr:colOff>
          <xdr:row>12</xdr:row>
          <xdr:rowOff>144780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1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EVEROUILLER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15</xdr:row>
          <xdr:rowOff>68580</xdr:rowOff>
        </xdr:from>
        <xdr:to>
          <xdr:col>12</xdr:col>
          <xdr:colOff>1714500</xdr:colOff>
          <xdr:row>17</xdr:row>
          <xdr:rowOff>144780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1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VEROUILLER FICHIER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72235" cy="5473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62025" y="142875"/>
          <a:ext cx="1390650" cy="6426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1572260</xdr:colOff>
      <xdr:row>3</xdr:row>
      <xdr:rowOff>26670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1590675</xdr:colOff>
      <xdr:row>3</xdr:row>
      <xdr:rowOff>121920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5410" cy="537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3825" cy="6330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142875</xdr:rowOff>
    </xdr:from>
    <xdr:to>
      <xdr:col>1</xdr:col>
      <xdr:colOff>1569085</xdr:colOff>
      <xdr:row>3</xdr:row>
      <xdr:rowOff>29845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72235" cy="53467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200025</xdr:colOff>
      <xdr:row>0</xdr:row>
      <xdr:rowOff>142875</xdr:rowOff>
    </xdr:from>
    <xdr:to>
      <xdr:col>1</xdr:col>
      <xdr:colOff>1587500</xdr:colOff>
      <xdr:row>3</xdr:row>
      <xdr:rowOff>125095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5" r="1219" b="3294"/>
        <a:stretch/>
      </xdr:blipFill>
      <xdr:spPr bwMode="auto">
        <a:xfrm>
          <a:off x="996950" y="139700"/>
          <a:ext cx="1390650" cy="62992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OLD/" TargetMode="External"/><Relationship Id="rId1" Type="http://schemas.openxmlformats.org/officeDocument/2006/relationships/hyperlink" Target="OLD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4A04-39F2-4B1B-AB9E-3BD839F22631}">
  <sheetPr codeName="Feuil56"/>
  <dimension ref="A1:AC59"/>
  <sheetViews>
    <sheetView tabSelected="1" zoomScale="70" zoomScaleNormal="70" workbookViewId="0">
      <selection activeCell="N3" sqref="N3"/>
    </sheetView>
  </sheetViews>
  <sheetFormatPr baseColWidth="10" defaultRowHeight="14.4" outlineLevelCol="1" x14ac:dyDescent="0.3"/>
  <cols>
    <col min="1" max="1" width="8.5546875" customWidth="1"/>
    <col min="2" max="2" width="23" customWidth="1"/>
    <col min="3" max="3" width="18.109375" bestFit="1" customWidth="1" outlineLevel="1"/>
    <col min="4" max="4" width="13.109375" bestFit="1" customWidth="1" outlineLevel="1"/>
    <col min="5" max="5" width="14.5546875" bestFit="1" customWidth="1" outlineLevel="1"/>
    <col min="6" max="6" width="14.44140625" bestFit="1" customWidth="1" outlineLevel="1"/>
    <col min="7" max="8" width="13.5546875" bestFit="1" customWidth="1" outlineLevel="1"/>
    <col min="9" max="9" width="14.44140625" bestFit="1" customWidth="1" outlineLevel="1"/>
    <col min="10" max="10" width="13.88671875" bestFit="1" customWidth="1" outlineLevel="1"/>
    <col min="11" max="11" width="17.88671875" bestFit="1" customWidth="1" outlineLevel="1"/>
    <col min="12" max="12" width="13.44140625" bestFit="1" customWidth="1" outlineLevel="1"/>
    <col min="13" max="13" width="14" bestFit="1" customWidth="1" outlineLevel="1"/>
    <col min="14" max="14" width="15.88671875" bestFit="1" customWidth="1" outlineLevel="1"/>
    <col min="15" max="15" width="24.44140625" bestFit="1" customWidth="1"/>
    <col min="17" max="17" width="18.44140625" customWidth="1"/>
    <col min="18" max="18" width="17" customWidth="1"/>
    <col min="19" max="19" width="14.88671875" customWidth="1"/>
  </cols>
  <sheetData>
    <row r="1" spans="2:29" ht="15" thickBot="1" x14ac:dyDescent="0.35"/>
    <row r="2" spans="2:29" ht="30" customHeight="1" thickBot="1" x14ac:dyDescent="0.35">
      <c r="B2" s="155" t="s">
        <v>37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7"/>
    </row>
    <row r="3" spans="2:29" ht="29.4" thickBot="1" x14ac:dyDescent="0.35">
      <c r="B3" s="112" t="s">
        <v>2</v>
      </c>
      <c r="C3" s="114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5"/>
      <c r="O3" s="113" t="s">
        <v>125</v>
      </c>
      <c r="P3" s="92" t="s">
        <v>147</v>
      </c>
      <c r="Q3" s="121" t="s">
        <v>154</v>
      </c>
      <c r="R3" s="158" t="s">
        <v>148</v>
      </c>
      <c r="S3" s="159"/>
      <c r="T3" s="159"/>
      <c r="U3" s="159"/>
      <c r="V3" s="159"/>
      <c r="W3" s="160"/>
      <c r="X3" s="161" t="s">
        <v>149</v>
      </c>
      <c r="Y3" s="161"/>
      <c r="Z3" s="161"/>
      <c r="AA3" s="161"/>
      <c r="AB3" s="161"/>
      <c r="AC3" s="162"/>
    </row>
    <row r="4" spans="2:29" ht="15" thickBot="1" x14ac:dyDescent="0.35">
      <c r="B4" s="93" t="s">
        <v>84</v>
      </c>
      <c r="C4" s="116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89"/>
      <c r="O4" s="94">
        <f>SUM(C4:N4)</f>
        <v>0</v>
      </c>
      <c r="P4" s="141">
        <f>192+30+100</f>
        <v>322</v>
      </c>
      <c r="Q4" s="122">
        <f>O4-P4</f>
        <v>-322</v>
      </c>
      <c r="R4" s="143">
        <f t="shared" ref="R4:R31" si="0">O4/P4</f>
        <v>0</v>
      </c>
      <c r="S4" s="144"/>
      <c r="T4" s="144"/>
      <c r="U4" s="144"/>
      <c r="V4" s="144"/>
      <c r="W4" s="145"/>
      <c r="X4" s="146">
        <f>(O4+O5)/(P4+P5)</f>
        <v>0</v>
      </c>
      <c r="Y4" s="147"/>
      <c r="Z4" s="147"/>
      <c r="AA4" s="147"/>
      <c r="AB4" s="147"/>
      <c r="AC4" s="148"/>
    </row>
    <row r="5" spans="2:29" ht="15" thickBot="1" x14ac:dyDescent="0.35">
      <c r="B5" s="96" t="s">
        <v>85</v>
      </c>
      <c r="C5" s="28"/>
      <c r="D5" s="117"/>
      <c r="E5" s="117"/>
      <c r="F5" s="117"/>
      <c r="G5" s="117"/>
      <c r="H5" s="117"/>
      <c r="I5" s="131"/>
      <c r="J5" s="131"/>
      <c r="K5" s="117"/>
      <c r="L5" s="117"/>
      <c r="M5" s="117"/>
      <c r="N5" s="118"/>
      <c r="O5" s="97">
        <f>SUM(C5:N5)</f>
        <v>0</v>
      </c>
      <c r="P5" s="142">
        <f>265+20</f>
        <v>285</v>
      </c>
      <c r="Q5" s="122">
        <f t="shared" ref="Q5:Q31" si="1">O5-P5</f>
        <v>-285</v>
      </c>
      <c r="R5" s="152">
        <f t="shared" si="0"/>
        <v>0</v>
      </c>
      <c r="S5" s="153"/>
      <c r="T5" s="153"/>
      <c r="U5" s="153"/>
      <c r="V5" s="153"/>
      <c r="W5" s="154"/>
      <c r="X5" s="149"/>
      <c r="Y5" s="150"/>
      <c r="Z5" s="150"/>
      <c r="AA5" s="150"/>
      <c r="AB5" s="150"/>
      <c r="AC5" s="151"/>
    </row>
    <row r="6" spans="2:29" ht="15" thickBot="1" x14ac:dyDescent="0.35">
      <c r="B6" s="93" t="s">
        <v>86</v>
      </c>
      <c r="C6" s="130"/>
      <c r="D6" s="101"/>
      <c r="E6" s="101"/>
      <c r="F6" s="101"/>
      <c r="G6" s="101"/>
      <c r="H6" s="101"/>
      <c r="I6" s="102"/>
      <c r="J6" s="102"/>
      <c r="K6" s="101"/>
      <c r="L6" s="101"/>
      <c r="M6" s="101"/>
      <c r="N6" s="89"/>
      <c r="O6" s="94">
        <f t="shared" ref="O6:O31" si="2">SUM(C6:N6)</f>
        <v>0</v>
      </c>
      <c r="P6" s="141">
        <f>134+100</f>
        <v>234</v>
      </c>
      <c r="Q6" s="122">
        <f t="shared" si="1"/>
        <v>-234</v>
      </c>
      <c r="R6" s="143">
        <f t="shared" si="0"/>
        <v>0</v>
      </c>
      <c r="S6" s="144"/>
      <c r="T6" s="144"/>
      <c r="U6" s="144"/>
      <c r="V6" s="144"/>
      <c r="W6" s="145"/>
      <c r="X6" s="146">
        <f>(O6+O7)/(P6+P7)</f>
        <v>0</v>
      </c>
      <c r="Y6" s="147"/>
      <c r="Z6" s="147"/>
      <c r="AA6" s="147"/>
      <c r="AB6" s="147"/>
      <c r="AC6" s="148"/>
    </row>
    <row r="7" spans="2:29" ht="15" thickBot="1" x14ac:dyDescent="0.35">
      <c r="B7" s="96" t="s">
        <v>87</v>
      </c>
      <c r="C7" s="28"/>
      <c r="D7" s="117"/>
      <c r="E7" s="117"/>
      <c r="F7" s="117"/>
      <c r="G7" s="117"/>
      <c r="H7" s="117"/>
      <c r="I7" s="131"/>
      <c r="J7" s="131"/>
      <c r="K7" s="117"/>
      <c r="L7" s="117"/>
      <c r="M7" s="117"/>
      <c r="N7" s="118"/>
      <c r="O7" s="97">
        <f t="shared" si="2"/>
        <v>0</v>
      </c>
      <c r="P7" s="142">
        <f>183+100</f>
        <v>283</v>
      </c>
      <c r="Q7" s="122">
        <f t="shared" si="1"/>
        <v>-283</v>
      </c>
      <c r="R7" s="152">
        <f t="shared" si="0"/>
        <v>0</v>
      </c>
      <c r="S7" s="153"/>
      <c r="T7" s="153"/>
      <c r="U7" s="153"/>
      <c r="V7" s="153"/>
      <c r="W7" s="154"/>
      <c r="X7" s="149"/>
      <c r="Y7" s="150"/>
      <c r="Z7" s="150"/>
      <c r="AA7" s="150"/>
      <c r="AB7" s="150"/>
      <c r="AC7" s="151"/>
    </row>
    <row r="8" spans="2:29" ht="15" thickBot="1" x14ac:dyDescent="0.35">
      <c r="B8" s="93" t="s">
        <v>88</v>
      </c>
      <c r="C8" s="130"/>
      <c r="D8" s="101"/>
      <c r="E8" s="101"/>
      <c r="F8" s="101"/>
      <c r="G8" s="101"/>
      <c r="H8" s="101"/>
      <c r="I8" s="102"/>
      <c r="J8" s="102"/>
      <c r="K8" s="101"/>
      <c r="L8" s="101"/>
      <c r="M8" s="101"/>
      <c r="N8" s="89"/>
      <c r="O8" s="94">
        <f t="shared" si="2"/>
        <v>0</v>
      </c>
      <c r="P8" s="141">
        <f>248+10</f>
        <v>258</v>
      </c>
      <c r="Q8" s="122">
        <f t="shared" si="1"/>
        <v>-258</v>
      </c>
      <c r="R8" s="143">
        <f t="shared" si="0"/>
        <v>0</v>
      </c>
      <c r="S8" s="144"/>
      <c r="T8" s="144"/>
      <c r="U8" s="144"/>
      <c r="V8" s="144"/>
      <c r="W8" s="145"/>
      <c r="X8" s="146">
        <f>(O8+O9)/(P8+P9)</f>
        <v>0</v>
      </c>
      <c r="Y8" s="147"/>
      <c r="Z8" s="147"/>
      <c r="AA8" s="147"/>
      <c r="AB8" s="147"/>
      <c r="AC8" s="148"/>
    </row>
    <row r="9" spans="2:29" ht="15" thickBot="1" x14ac:dyDescent="0.35">
      <c r="B9" s="96" t="s">
        <v>89</v>
      </c>
      <c r="C9" s="28"/>
      <c r="D9" s="117"/>
      <c r="E9" s="117"/>
      <c r="F9" s="117"/>
      <c r="G9" s="117"/>
      <c r="H9" s="117"/>
      <c r="I9" s="131"/>
      <c r="J9" s="131"/>
      <c r="K9" s="117"/>
      <c r="L9" s="117"/>
      <c r="M9" s="117"/>
      <c r="N9" s="118"/>
      <c r="O9" s="97">
        <f t="shared" si="2"/>
        <v>0</v>
      </c>
      <c r="P9" s="142">
        <f>276+10</f>
        <v>286</v>
      </c>
      <c r="Q9" s="122">
        <f t="shared" si="1"/>
        <v>-286</v>
      </c>
      <c r="R9" s="152">
        <f t="shared" si="0"/>
        <v>0</v>
      </c>
      <c r="S9" s="153"/>
      <c r="T9" s="153"/>
      <c r="U9" s="153"/>
      <c r="V9" s="153"/>
      <c r="W9" s="154"/>
      <c r="X9" s="149"/>
      <c r="Y9" s="150"/>
      <c r="Z9" s="150"/>
      <c r="AA9" s="150"/>
      <c r="AB9" s="150"/>
      <c r="AC9" s="151"/>
    </row>
    <row r="10" spans="2:29" ht="15" thickBot="1" x14ac:dyDescent="0.35">
      <c r="B10" s="93" t="s">
        <v>90</v>
      </c>
      <c r="C10" s="130"/>
      <c r="D10" s="101"/>
      <c r="E10" s="101"/>
      <c r="F10" s="101"/>
      <c r="G10" s="101"/>
      <c r="H10" s="101"/>
      <c r="I10" s="102"/>
      <c r="J10" s="102"/>
      <c r="K10" s="101"/>
      <c r="L10" s="101"/>
      <c r="M10" s="101"/>
      <c r="N10" s="89"/>
      <c r="O10" s="94">
        <f t="shared" si="2"/>
        <v>0</v>
      </c>
      <c r="P10" s="141">
        <f>300+25+100</f>
        <v>425</v>
      </c>
      <c r="Q10" s="122">
        <f t="shared" si="1"/>
        <v>-425</v>
      </c>
      <c r="R10" s="143">
        <f t="shared" si="0"/>
        <v>0</v>
      </c>
      <c r="S10" s="144"/>
      <c r="T10" s="144"/>
      <c r="U10" s="144"/>
      <c r="V10" s="144"/>
      <c r="W10" s="145"/>
      <c r="X10" s="146">
        <f>(O10+O11)/(P10+P11)</f>
        <v>0</v>
      </c>
      <c r="Y10" s="147"/>
      <c r="Z10" s="147"/>
      <c r="AA10" s="147"/>
      <c r="AB10" s="147"/>
      <c r="AC10" s="148"/>
    </row>
    <row r="11" spans="2:29" ht="15" thickBot="1" x14ac:dyDescent="0.35">
      <c r="B11" s="96" t="s">
        <v>91</v>
      </c>
      <c r="C11" s="28"/>
      <c r="D11" s="117"/>
      <c r="E11" s="117"/>
      <c r="F11" s="117"/>
      <c r="G11" s="117"/>
      <c r="H11" s="117"/>
      <c r="I11" s="131"/>
      <c r="J11" s="131"/>
      <c r="K11" s="117"/>
      <c r="L11" s="117"/>
      <c r="M11" s="117"/>
      <c r="N11" s="118"/>
      <c r="O11" s="97">
        <f t="shared" si="2"/>
        <v>0</v>
      </c>
      <c r="P11" s="142">
        <v>543</v>
      </c>
      <c r="Q11" s="122">
        <f t="shared" si="1"/>
        <v>-543</v>
      </c>
      <c r="R11" s="152">
        <f t="shared" si="0"/>
        <v>0</v>
      </c>
      <c r="S11" s="153"/>
      <c r="T11" s="153"/>
      <c r="U11" s="153"/>
      <c r="V11" s="153"/>
      <c r="W11" s="154"/>
      <c r="X11" s="149"/>
      <c r="Y11" s="150"/>
      <c r="Z11" s="150"/>
      <c r="AA11" s="150"/>
      <c r="AB11" s="150"/>
      <c r="AC11" s="151"/>
    </row>
    <row r="12" spans="2:29" ht="15" thickBot="1" x14ac:dyDescent="0.35">
      <c r="B12" s="93" t="s">
        <v>92</v>
      </c>
      <c r="C12" s="130"/>
      <c r="D12" s="101"/>
      <c r="E12" s="101"/>
      <c r="F12" s="101"/>
      <c r="G12" s="101"/>
      <c r="H12" s="101"/>
      <c r="I12" s="102"/>
      <c r="J12" s="102"/>
      <c r="K12" s="101"/>
      <c r="L12" s="101"/>
      <c r="M12" s="101"/>
      <c r="N12" s="89"/>
      <c r="O12" s="94">
        <f t="shared" si="2"/>
        <v>0</v>
      </c>
      <c r="P12" s="141">
        <v>220</v>
      </c>
      <c r="Q12" s="122">
        <f t="shared" si="1"/>
        <v>-220</v>
      </c>
      <c r="R12" s="143">
        <f t="shared" si="0"/>
        <v>0</v>
      </c>
      <c r="S12" s="144"/>
      <c r="T12" s="144"/>
      <c r="U12" s="144"/>
      <c r="V12" s="144"/>
      <c r="W12" s="145"/>
      <c r="X12" s="146">
        <f>(O12+O13)/(P12+P13)</f>
        <v>0</v>
      </c>
      <c r="Y12" s="147"/>
      <c r="Z12" s="147"/>
      <c r="AA12" s="147"/>
      <c r="AB12" s="147"/>
      <c r="AC12" s="148"/>
    </row>
    <row r="13" spans="2:29" ht="15" thickBot="1" x14ac:dyDescent="0.35">
      <c r="B13" s="96" t="s">
        <v>93</v>
      </c>
      <c r="C13" s="28"/>
      <c r="D13" s="117"/>
      <c r="E13" s="117"/>
      <c r="F13" s="117"/>
      <c r="G13" s="117"/>
      <c r="H13" s="117"/>
      <c r="I13" s="131"/>
      <c r="J13" s="131"/>
      <c r="K13" s="117"/>
      <c r="L13" s="117"/>
      <c r="M13" s="117"/>
      <c r="N13" s="118"/>
      <c r="O13" s="97">
        <f t="shared" si="2"/>
        <v>0</v>
      </c>
      <c r="P13" s="142">
        <v>170</v>
      </c>
      <c r="Q13" s="122">
        <f t="shared" si="1"/>
        <v>-170</v>
      </c>
      <c r="R13" s="152">
        <f t="shared" si="0"/>
        <v>0</v>
      </c>
      <c r="S13" s="153"/>
      <c r="T13" s="153"/>
      <c r="U13" s="153"/>
      <c r="V13" s="153"/>
      <c r="W13" s="154"/>
      <c r="X13" s="149"/>
      <c r="Y13" s="150"/>
      <c r="Z13" s="150"/>
      <c r="AA13" s="150"/>
      <c r="AB13" s="150"/>
      <c r="AC13" s="151"/>
    </row>
    <row r="14" spans="2:29" ht="15" thickBot="1" x14ac:dyDescent="0.35">
      <c r="B14" s="93" t="s">
        <v>94</v>
      </c>
      <c r="C14" s="130"/>
      <c r="D14" s="101"/>
      <c r="E14" s="101"/>
      <c r="F14" s="101"/>
      <c r="G14" s="101"/>
      <c r="H14" s="101"/>
      <c r="I14" s="102"/>
      <c r="J14" s="102"/>
      <c r="K14" s="101"/>
      <c r="L14" s="101"/>
      <c r="M14" s="101"/>
      <c r="N14" s="89"/>
      <c r="O14" s="94">
        <f t="shared" si="2"/>
        <v>0</v>
      </c>
      <c r="P14" s="141">
        <v>201</v>
      </c>
      <c r="Q14" s="122">
        <f t="shared" si="1"/>
        <v>-201</v>
      </c>
      <c r="R14" s="143">
        <f t="shared" si="0"/>
        <v>0</v>
      </c>
      <c r="S14" s="144"/>
      <c r="T14" s="144"/>
      <c r="U14" s="144"/>
      <c r="V14" s="144"/>
      <c r="W14" s="145"/>
      <c r="X14" s="146">
        <f>(O14+O15)/(P14+P15)</f>
        <v>0</v>
      </c>
      <c r="Y14" s="147"/>
      <c r="Z14" s="147"/>
      <c r="AA14" s="147"/>
      <c r="AB14" s="147"/>
      <c r="AC14" s="148"/>
    </row>
    <row r="15" spans="2:29" ht="15" thickBot="1" x14ac:dyDescent="0.35">
      <c r="B15" s="96" t="s">
        <v>95</v>
      </c>
      <c r="C15" s="28"/>
      <c r="D15" s="117"/>
      <c r="E15" s="117"/>
      <c r="F15" s="117"/>
      <c r="G15" s="117"/>
      <c r="H15" s="117"/>
      <c r="I15" s="131"/>
      <c r="J15" s="131"/>
      <c r="K15" s="117"/>
      <c r="L15" s="117"/>
      <c r="M15" s="117"/>
      <c r="N15" s="118"/>
      <c r="O15" s="97">
        <f t="shared" si="2"/>
        <v>0</v>
      </c>
      <c r="P15" s="142">
        <v>166</v>
      </c>
      <c r="Q15" s="122">
        <f t="shared" si="1"/>
        <v>-166</v>
      </c>
      <c r="R15" s="152">
        <f t="shared" si="0"/>
        <v>0</v>
      </c>
      <c r="S15" s="153"/>
      <c r="T15" s="153"/>
      <c r="U15" s="153"/>
      <c r="V15" s="153"/>
      <c r="W15" s="154"/>
      <c r="X15" s="149"/>
      <c r="Y15" s="150"/>
      <c r="Z15" s="150"/>
      <c r="AA15" s="150"/>
      <c r="AB15" s="150"/>
      <c r="AC15" s="151"/>
    </row>
    <row r="16" spans="2:29" ht="15" thickBot="1" x14ac:dyDescent="0.35">
      <c r="B16" s="93" t="s">
        <v>96</v>
      </c>
      <c r="C16" s="130"/>
      <c r="D16" s="101"/>
      <c r="E16" s="101"/>
      <c r="F16" s="101"/>
      <c r="G16" s="101"/>
      <c r="H16" s="101"/>
      <c r="I16" s="102"/>
      <c r="J16" s="102"/>
      <c r="K16" s="101"/>
      <c r="L16" s="101"/>
      <c r="M16" s="101"/>
      <c r="N16" s="89"/>
      <c r="O16" s="94">
        <f t="shared" si="2"/>
        <v>0</v>
      </c>
      <c r="P16" s="141">
        <v>177</v>
      </c>
      <c r="Q16" s="122">
        <f t="shared" si="1"/>
        <v>-177</v>
      </c>
      <c r="R16" s="143">
        <f t="shared" si="0"/>
        <v>0</v>
      </c>
      <c r="S16" s="144"/>
      <c r="T16" s="144"/>
      <c r="U16" s="144"/>
      <c r="V16" s="144"/>
      <c r="W16" s="145"/>
      <c r="X16" s="146">
        <f>(O16+O17)/(P16+P17)</f>
        <v>0</v>
      </c>
      <c r="Y16" s="147"/>
      <c r="Z16" s="147"/>
      <c r="AA16" s="147"/>
      <c r="AB16" s="147"/>
      <c r="AC16" s="148"/>
    </row>
    <row r="17" spans="2:29" ht="15" thickBot="1" x14ac:dyDescent="0.35">
      <c r="B17" s="96" t="s">
        <v>98</v>
      </c>
      <c r="C17" s="28"/>
      <c r="D17" s="117"/>
      <c r="E17" s="117"/>
      <c r="F17" s="117"/>
      <c r="G17" s="117"/>
      <c r="H17" s="117"/>
      <c r="I17" s="131"/>
      <c r="J17" s="131"/>
      <c r="K17" s="117"/>
      <c r="L17" s="117"/>
      <c r="M17" s="117"/>
      <c r="N17" s="118"/>
      <c r="O17" s="97">
        <f t="shared" si="2"/>
        <v>0</v>
      </c>
      <c r="P17" s="142">
        <v>150</v>
      </c>
      <c r="Q17" s="122">
        <f t="shared" si="1"/>
        <v>-150</v>
      </c>
      <c r="R17" s="152">
        <f t="shared" si="0"/>
        <v>0</v>
      </c>
      <c r="S17" s="153"/>
      <c r="T17" s="153"/>
      <c r="U17" s="153"/>
      <c r="V17" s="153"/>
      <c r="W17" s="154"/>
      <c r="X17" s="149"/>
      <c r="Y17" s="150"/>
      <c r="Z17" s="150"/>
      <c r="AA17" s="150"/>
      <c r="AB17" s="150"/>
      <c r="AC17" s="151"/>
    </row>
    <row r="18" spans="2:29" ht="15" thickBot="1" x14ac:dyDescent="0.35">
      <c r="B18" s="93" t="s">
        <v>99</v>
      </c>
      <c r="C18" s="130"/>
      <c r="D18" s="101"/>
      <c r="E18" s="101"/>
      <c r="F18" s="101"/>
      <c r="G18" s="101"/>
      <c r="H18" s="101"/>
      <c r="I18" s="102"/>
      <c r="J18" s="102"/>
      <c r="K18" s="101"/>
      <c r="L18" s="101"/>
      <c r="M18" s="101"/>
      <c r="N18" s="89"/>
      <c r="O18" s="94">
        <f t="shared" si="2"/>
        <v>0</v>
      </c>
      <c r="P18" s="141">
        <v>160</v>
      </c>
      <c r="Q18" s="122">
        <f t="shared" si="1"/>
        <v>-160</v>
      </c>
      <c r="R18" s="143">
        <f t="shared" si="0"/>
        <v>0</v>
      </c>
      <c r="S18" s="144"/>
      <c r="T18" s="144"/>
      <c r="U18" s="144"/>
      <c r="V18" s="144"/>
      <c r="W18" s="145"/>
      <c r="X18" s="146">
        <f>(O18+O19)/(P18+P19)</f>
        <v>0</v>
      </c>
      <c r="Y18" s="147"/>
      <c r="Z18" s="147"/>
      <c r="AA18" s="147"/>
      <c r="AB18" s="147"/>
      <c r="AC18" s="148"/>
    </row>
    <row r="19" spans="2:29" ht="15" thickBot="1" x14ac:dyDescent="0.35">
      <c r="B19" s="96" t="s">
        <v>97</v>
      </c>
      <c r="C19" s="28"/>
      <c r="D19" s="117"/>
      <c r="E19" s="117"/>
      <c r="F19" s="117"/>
      <c r="G19" s="117"/>
      <c r="H19" s="117"/>
      <c r="I19" s="131"/>
      <c r="J19" s="131"/>
      <c r="K19" s="117"/>
      <c r="L19" s="117"/>
      <c r="M19" s="117"/>
      <c r="N19" s="118"/>
      <c r="O19" s="97">
        <f t="shared" si="2"/>
        <v>0</v>
      </c>
      <c r="P19" s="142">
        <v>131</v>
      </c>
      <c r="Q19" s="122">
        <f t="shared" si="1"/>
        <v>-131</v>
      </c>
      <c r="R19" s="152">
        <f t="shared" si="0"/>
        <v>0</v>
      </c>
      <c r="S19" s="153"/>
      <c r="T19" s="153"/>
      <c r="U19" s="153"/>
      <c r="V19" s="153"/>
      <c r="W19" s="154"/>
      <c r="X19" s="149"/>
      <c r="Y19" s="150"/>
      <c r="Z19" s="150"/>
      <c r="AA19" s="150"/>
      <c r="AB19" s="150"/>
      <c r="AC19" s="151"/>
    </row>
    <row r="20" spans="2:29" ht="15" thickBot="1" x14ac:dyDescent="0.35">
      <c r="B20" s="93" t="s">
        <v>100</v>
      </c>
      <c r="C20" s="130"/>
      <c r="D20" s="101"/>
      <c r="E20" s="101"/>
      <c r="F20" s="101"/>
      <c r="G20" s="101"/>
      <c r="H20" s="101"/>
      <c r="I20" s="102"/>
      <c r="J20" s="102"/>
      <c r="K20" s="101"/>
      <c r="L20" s="101"/>
      <c r="M20" s="101"/>
      <c r="N20" s="89"/>
      <c r="O20" s="94">
        <f t="shared" si="2"/>
        <v>0</v>
      </c>
      <c r="P20" s="141">
        <f>200+15</f>
        <v>215</v>
      </c>
      <c r="Q20" s="122">
        <f t="shared" si="1"/>
        <v>-215</v>
      </c>
      <c r="R20" s="143">
        <f t="shared" si="0"/>
        <v>0</v>
      </c>
      <c r="S20" s="144"/>
      <c r="T20" s="144"/>
      <c r="U20" s="144"/>
      <c r="V20" s="144"/>
      <c r="W20" s="145"/>
      <c r="X20" s="146">
        <f>(O20+O21)/(P20+P21)</f>
        <v>0</v>
      </c>
      <c r="Y20" s="147"/>
      <c r="Z20" s="147"/>
      <c r="AA20" s="147"/>
      <c r="AB20" s="147"/>
      <c r="AC20" s="148"/>
    </row>
    <row r="21" spans="2:29" ht="15" thickBot="1" x14ac:dyDescent="0.35">
      <c r="B21" s="96" t="s">
        <v>101</v>
      </c>
      <c r="C21" s="28"/>
      <c r="D21" s="117"/>
      <c r="E21" s="117"/>
      <c r="F21" s="117"/>
      <c r="G21" s="117"/>
      <c r="H21" s="117"/>
      <c r="I21" s="131"/>
      <c r="J21" s="131"/>
      <c r="K21" s="117"/>
      <c r="L21" s="117"/>
      <c r="M21" s="117"/>
      <c r="N21" s="118"/>
      <c r="O21" s="97">
        <f t="shared" si="2"/>
        <v>0</v>
      </c>
      <c r="P21" s="142">
        <f>160+15</f>
        <v>175</v>
      </c>
      <c r="Q21" s="122">
        <f t="shared" si="1"/>
        <v>-175</v>
      </c>
      <c r="R21" s="152">
        <f t="shared" si="0"/>
        <v>0</v>
      </c>
      <c r="S21" s="153"/>
      <c r="T21" s="153"/>
      <c r="U21" s="153"/>
      <c r="V21" s="153"/>
      <c r="W21" s="154"/>
      <c r="X21" s="149"/>
      <c r="Y21" s="150"/>
      <c r="Z21" s="150"/>
      <c r="AA21" s="150"/>
      <c r="AB21" s="150"/>
      <c r="AC21" s="151"/>
    </row>
    <row r="22" spans="2:29" ht="15" thickBot="1" x14ac:dyDescent="0.35">
      <c r="B22" s="93" t="s">
        <v>102</v>
      </c>
      <c r="C22" s="130"/>
      <c r="D22" s="101"/>
      <c r="E22" s="101"/>
      <c r="F22" s="101"/>
      <c r="G22" s="101"/>
      <c r="H22" s="101"/>
      <c r="I22" s="102"/>
      <c r="J22" s="102"/>
      <c r="K22" s="101"/>
      <c r="L22" s="101"/>
      <c r="M22" s="101"/>
      <c r="N22" s="89"/>
      <c r="O22" s="94">
        <f t="shared" si="2"/>
        <v>0</v>
      </c>
      <c r="P22" s="141">
        <f>197+25+42.5</f>
        <v>264.5</v>
      </c>
      <c r="Q22" s="122">
        <f t="shared" si="1"/>
        <v>-264.5</v>
      </c>
      <c r="R22" s="143">
        <f t="shared" si="0"/>
        <v>0</v>
      </c>
      <c r="S22" s="144"/>
      <c r="T22" s="144"/>
      <c r="U22" s="144"/>
      <c r="V22" s="144"/>
      <c r="W22" s="145"/>
      <c r="X22" s="146">
        <f>(O22+O23)/(P22+P23)</f>
        <v>0</v>
      </c>
      <c r="Y22" s="147"/>
      <c r="Z22" s="147"/>
      <c r="AA22" s="147"/>
      <c r="AB22" s="147"/>
      <c r="AC22" s="148"/>
    </row>
    <row r="23" spans="2:29" ht="15" thickBot="1" x14ac:dyDescent="0.35">
      <c r="B23" s="96" t="s">
        <v>103</v>
      </c>
      <c r="C23" s="28"/>
      <c r="D23" s="117"/>
      <c r="E23" s="117"/>
      <c r="F23" s="117"/>
      <c r="G23" s="117"/>
      <c r="H23" s="117"/>
      <c r="I23" s="131"/>
      <c r="J23" s="131"/>
      <c r="K23" s="117"/>
      <c r="L23" s="117"/>
      <c r="M23" s="117"/>
      <c r="N23" s="118"/>
      <c r="O23" s="97">
        <f t="shared" si="2"/>
        <v>0</v>
      </c>
      <c r="P23" s="142">
        <f>161+100</f>
        <v>261</v>
      </c>
      <c r="Q23" s="122">
        <f t="shared" si="1"/>
        <v>-261</v>
      </c>
      <c r="R23" s="152">
        <f t="shared" si="0"/>
        <v>0</v>
      </c>
      <c r="S23" s="153"/>
      <c r="T23" s="153"/>
      <c r="U23" s="153"/>
      <c r="V23" s="153"/>
      <c r="W23" s="154"/>
      <c r="X23" s="149"/>
      <c r="Y23" s="150"/>
      <c r="Z23" s="150"/>
      <c r="AA23" s="150"/>
      <c r="AB23" s="150"/>
      <c r="AC23" s="151"/>
    </row>
    <row r="24" spans="2:29" ht="15" thickBot="1" x14ac:dyDescent="0.35">
      <c r="B24" s="93" t="s">
        <v>104</v>
      </c>
      <c r="C24" s="130"/>
      <c r="D24" s="101"/>
      <c r="E24" s="101"/>
      <c r="F24" s="101"/>
      <c r="G24" s="101"/>
      <c r="H24" s="101"/>
      <c r="I24" s="102"/>
      <c r="J24" s="102"/>
      <c r="K24" s="101"/>
      <c r="L24" s="101"/>
      <c r="M24" s="101"/>
      <c r="N24" s="89"/>
      <c r="O24" s="94">
        <f t="shared" si="2"/>
        <v>0</v>
      </c>
      <c r="P24" s="141">
        <f>382+90</f>
        <v>472</v>
      </c>
      <c r="Q24" s="122">
        <f t="shared" si="1"/>
        <v>-472</v>
      </c>
      <c r="R24" s="143">
        <f t="shared" si="0"/>
        <v>0</v>
      </c>
      <c r="S24" s="144"/>
      <c r="T24" s="144"/>
      <c r="U24" s="144"/>
      <c r="V24" s="144"/>
      <c r="W24" s="145"/>
      <c r="X24" s="146">
        <f>(O24+O25)/(P24+P25)</f>
        <v>0</v>
      </c>
      <c r="Y24" s="147"/>
      <c r="Z24" s="147"/>
      <c r="AA24" s="147"/>
      <c r="AB24" s="147"/>
      <c r="AC24" s="148"/>
    </row>
    <row r="25" spans="2:29" ht="15" thickBot="1" x14ac:dyDescent="0.35">
      <c r="B25" s="96" t="s">
        <v>105</v>
      </c>
      <c r="C25" s="28"/>
      <c r="D25" s="117"/>
      <c r="E25" s="117"/>
      <c r="F25" s="117"/>
      <c r="G25" s="117"/>
      <c r="H25" s="117"/>
      <c r="I25" s="131"/>
      <c r="J25" s="131"/>
      <c r="K25" s="117"/>
      <c r="L25" s="117"/>
      <c r="M25" s="117"/>
      <c r="N25" s="118"/>
      <c r="O25" s="97">
        <f t="shared" si="2"/>
        <v>0</v>
      </c>
      <c r="P25" s="142">
        <f>457+110</f>
        <v>567</v>
      </c>
      <c r="Q25" s="122">
        <f t="shared" si="1"/>
        <v>-567</v>
      </c>
      <c r="R25" s="152">
        <f t="shared" si="0"/>
        <v>0</v>
      </c>
      <c r="S25" s="153"/>
      <c r="T25" s="153"/>
      <c r="U25" s="153"/>
      <c r="V25" s="153"/>
      <c r="W25" s="154"/>
      <c r="X25" s="149"/>
      <c r="Y25" s="150"/>
      <c r="Z25" s="150"/>
      <c r="AA25" s="150"/>
      <c r="AB25" s="150"/>
      <c r="AC25" s="151"/>
    </row>
    <row r="26" spans="2:29" ht="15" thickBot="1" x14ac:dyDescent="0.35">
      <c r="B26" s="93" t="s">
        <v>106</v>
      </c>
      <c r="C26" s="130"/>
      <c r="D26" s="101"/>
      <c r="E26" s="101"/>
      <c r="F26" s="101"/>
      <c r="G26" s="101"/>
      <c r="H26" s="101"/>
      <c r="I26" s="102"/>
      <c r="J26" s="102"/>
      <c r="K26" s="101"/>
      <c r="L26" s="101"/>
      <c r="M26" s="101"/>
      <c r="N26" s="89"/>
      <c r="O26" s="94">
        <f t="shared" si="2"/>
        <v>0</v>
      </c>
      <c r="P26" s="95">
        <v>180</v>
      </c>
      <c r="Q26" s="122">
        <f t="shared" si="1"/>
        <v>-180</v>
      </c>
      <c r="R26" s="143">
        <f t="shared" si="0"/>
        <v>0</v>
      </c>
      <c r="S26" s="144"/>
      <c r="T26" s="144"/>
      <c r="U26" s="144"/>
      <c r="V26" s="144"/>
      <c r="W26" s="145"/>
      <c r="X26" s="146">
        <f>(O26+O27)/(P26+P27)</f>
        <v>0</v>
      </c>
      <c r="Y26" s="147"/>
      <c r="Z26" s="147"/>
      <c r="AA26" s="147"/>
      <c r="AB26" s="147"/>
      <c r="AC26" s="148"/>
    </row>
    <row r="27" spans="2:29" ht="15" thickBot="1" x14ac:dyDescent="0.35">
      <c r="B27" s="96" t="s">
        <v>107</v>
      </c>
      <c r="C27" s="28"/>
      <c r="D27" s="117"/>
      <c r="E27" s="117"/>
      <c r="F27" s="117"/>
      <c r="G27" s="117"/>
      <c r="H27" s="117"/>
      <c r="I27" s="131"/>
      <c r="J27" s="131"/>
      <c r="K27" s="117"/>
      <c r="L27" s="117"/>
      <c r="M27" s="117"/>
      <c r="N27" s="118"/>
      <c r="O27" s="97">
        <f t="shared" si="2"/>
        <v>0</v>
      </c>
      <c r="P27" s="98">
        <v>224</v>
      </c>
      <c r="Q27" s="122">
        <f t="shared" si="1"/>
        <v>-224</v>
      </c>
      <c r="R27" s="152">
        <f t="shared" si="0"/>
        <v>0</v>
      </c>
      <c r="S27" s="153"/>
      <c r="T27" s="153"/>
      <c r="U27" s="153"/>
      <c r="V27" s="153"/>
      <c r="W27" s="154"/>
      <c r="X27" s="149"/>
      <c r="Y27" s="150"/>
      <c r="Z27" s="150"/>
      <c r="AA27" s="150"/>
      <c r="AB27" s="150"/>
      <c r="AC27" s="151"/>
    </row>
    <row r="28" spans="2:29" ht="15" thickBot="1" x14ac:dyDescent="0.35">
      <c r="B28" s="93" t="s">
        <v>108</v>
      </c>
      <c r="C28" s="130"/>
      <c r="D28" s="101"/>
      <c r="E28" s="101"/>
      <c r="F28" s="101"/>
      <c r="G28" s="101"/>
      <c r="H28" s="101"/>
      <c r="I28" s="102"/>
      <c r="J28" s="102"/>
      <c r="K28" s="101"/>
      <c r="L28" s="101"/>
      <c r="M28" s="101"/>
      <c r="N28" s="89"/>
      <c r="O28" s="94">
        <f t="shared" si="2"/>
        <v>0</v>
      </c>
      <c r="P28" s="95">
        <v>320</v>
      </c>
      <c r="Q28" s="122">
        <f t="shared" si="1"/>
        <v>-320</v>
      </c>
      <c r="R28" s="143">
        <f t="shared" si="0"/>
        <v>0</v>
      </c>
      <c r="S28" s="144"/>
      <c r="T28" s="144"/>
      <c r="U28" s="144"/>
      <c r="V28" s="144"/>
      <c r="W28" s="145"/>
      <c r="X28" s="146">
        <f>(O28+O29)/(P28+P29)</f>
        <v>0</v>
      </c>
      <c r="Y28" s="147"/>
      <c r="Z28" s="147"/>
      <c r="AA28" s="147"/>
      <c r="AB28" s="147"/>
      <c r="AC28" s="148"/>
    </row>
    <row r="29" spans="2:29" ht="15" thickBot="1" x14ac:dyDescent="0.35">
      <c r="B29" s="96" t="s">
        <v>109</v>
      </c>
      <c r="C29" s="28"/>
      <c r="D29" s="117"/>
      <c r="E29" s="117"/>
      <c r="F29" s="117"/>
      <c r="G29" s="117"/>
      <c r="H29" s="117"/>
      <c r="I29" s="131"/>
      <c r="J29" s="131"/>
      <c r="K29" s="117"/>
      <c r="L29" s="117"/>
      <c r="M29" s="117"/>
      <c r="N29" s="118"/>
      <c r="O29" s="97">
        <f t="shared" si="2"/>
        <v>0</v>
      </c>
      <c r="P29" s="98">
        <v>297</v>
      </c>
      <c r="Q29" s="122">
        <f t="shared" si="1"/>
        <v>-297</v>
      </c>
      <c r="R29" s="152">
        <f t="shared" si="0"/>
        <v>0</v>
      </c>
      <c r="S29" s="153"/>
      <c r="T29" s="153"/>
      <c r="U29" s="153"/>
      <c r="V29" s="153"/>
      <c r="W29" s="154"/>
      <c r="X29" s="149"/>
      <c r="Y29" s="150"/>
      <c r="Z29" s="150"/>
      <c r="AA29" s="150"/>
      <c r="AB29" s="150"/>
      <c r="AC29" s="151"/>
    </row>
    <row r="30" spans="2:29" ht="15" thickBot="1" x14ac:dyDescent="0.35">
      <c r="B30" s="99" t="s">
        <v>110</v>
      </c>
      <c r="C30" s="130"/>
      <c r="D30" s="101"/>
      <c r="E30" s="101"/>
      <c r="F30" s="101"/>
      <c r="G30" s="101"/>
      <c r="H30" s="101"/>
      <c r="I30" s="102"/>
      <c r="J30" s="102"/>
      <c r="K30" s="101"/>
      <c r="L30" s="101"/>
      <c r="M30" s="101"/>
      <c r="N30" s="89"/>
      <c r="O30" s="100">
        <f t="shared" si="2"/>
        <v>0</v>
      </c>
      <c r="P30" s="95">
        <v>251</v>
      </c>
      <c r="Q30" s="122">
        <f t="shared" si="1"/>
        <v>-251</v>
      </c>
      <c r="R30" s="143">
        <f t="shared" si="0"/>
        <v>0</v>
      </c>
      <c r="S30" s="144"/>
      <c r="T30" s="144"/>
      <c r="U30" s="144"/>
      <c r="V30" s="144"/>
      <c r="W30" s="145"/>
      <c r="X30" s="146">
        <f>(O30+O31)/(P30+P31)</f>
        <v>0</v>
      </c>
      <c r="Y30" s="147"/>
      <c r="Z30" s="147"/>
      <c r="AA30" s="147"/>
      <c r="AB30" s="147"/>
      <c r="AC30" s="148"/>
    </row>
    <row r="31" spans="2:29" ht="15" thickBot="1" x14ac:dyDescent="0.35">
      <c r="B31" s="96" t="s">
        <v>111</v>
      </c>
      <c r="C31" s="28"/>
      <c r="D31" s="105"/>
      <c r="E31" s="105"/>
      <c r="F31" s="105"/>
      <c r="G31" s="105"/>
      <c r="H31" s="105"/>
      <c r="I31" s="106"/>
      <c r="J31" s="106"/>
      <c r="K31" s="105"/>
      <c r="L31" s="105"/>
      <c r="M31" s="105"/>
      <c r="N31" s="29"/>
      <c r="O31" s="97">
        <f t="shared" si="2"/>
        <v>0</v>
      </c>
      <c r="P31" s="98">
        <v>276</v>
      </c>
      <c r="Q31" s="122">
        <f t="shared" si="1"/>
        <v>-276</v>
      </c>
      <c r="R31" s="152">
        <f t="shared" si="0"/>
        <v>0</v>
      </c>
      <c r="S31" s="153"/>
      <c r="T31" s="153"/>
      <c r="U31" s="153"/>
      <c r="V31" s="153"/>
      <c r="W31" s="154"/>
      <c r="X31" s="149"/>
      <c r="Y31" s="150"/>
      <c r="Z31" s="150"/>
      <c r="AA31" s="150"/>
      <c r="AB31" s="150"/>
      <c r="AC31" s="151"/>
    </row>
    <row r="32" spans="2:29" ht="18.600000000000001" thickBot="1" x14ac:dyDescent="0.4">
      <c r="B32" s="163" t="s">
        <v>37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5"/>
    </row>
    <row r="33" spans="2:28" ht="15" thickBot="1" x14ac:dyDescent="0.35">
      <c r="B33" s="125" t="s">
        <v>113</v>
      </c>
      <c r="C33" s="123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89"/>
      <c r="O33" s="94">
        <f>SUM(C33:N33)</f>
        <v>0</v>
      </c>
    </row>
    <row r="34" spans="2:28" ht="15" thickBot="1" x14ac:dyDescent="0.35">
      <c r="B34" s="126" t="s">
        <v>14</v>
      </c>
      <c r="C34" s="124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27"/>
      <c r="O34" s="100">
        <f t="shared" ref="O34:O39" si="3">SUM(C34:N34)</f>
        <v>0</v>
      </c>
      <c r="W34" s="174" t="s">
        <v>152</v>
      </c>
      <c r="X34" s="175"/>
      <c r="Y34" s="175"/>
      <c r="Z34" s="175"/>
      <c r="AA34" s="175"/>
      <c r="AB34" s="176"/>
    </row>
    <row r="35" spans="2:28" x14ac:dyDescent="0.3">
      <c r="B35" s="126" t="s">
        <v>15</v>
      </c>
      <c r="C35" s="124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27"/>
      <c r="O35" s="100">
        <f t="shared" si="3"/>
        <v>0</v>
      </c>
      <c r="R35" s="170" t="s">
        <v>151</v>
      </c>
      <c r="S35" s="170"/>
      <c r="T35" s="170" t="s">
        <v>150</v>
      </c>
      <c r="U35" s="170"/>
      <c r="W35" s="177">
        <f>R36/T36</f>
        <v>0</v>
      </c>
      <c r="X35" s="147"/>
      <c r="Y35" s="147"/>
      <c r="Z35" s="147"/>
      <c r="AA35" s="147"/>
      <c r="AB35" s="148"/>
    </row>
    <row r="36" spans="2:28" ht="15" thickBot="1" x14ac:dyDescent="0.35">
      <c r="B36" s="127" t="s">
        <v>4</v>
      </c>
      <c r="C36" s="124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27"/>
      <c r="O36" s="109">
        <f t="shared" si="3"/>
        <v>0</v>
      </c>
      <c r="R36" s="172">
        <f>SUM(O4:O31)</f>
        <v>0</v>
      </c>
      <c r="S36" s="173"/>
      <c r="T36" s="171">
        <f>SUM(P4:P31)</f>
        <v>7513.5</v>
      </c>
      <c r="U36" s="171"/>
      <c r="W36" s="178"/>
      <c r="X36" s="150"/>
      <c r="Y36" s="150"/>
      <c r="Z36" s="150"/>
      <c r="AA36" s="150"/>
      <c r="AB36" s="151"/>
    </row>
    <row r="37" spans="2:28" x14ac:dyDescent="0.3">
      <c r="B37" s="126" t="s">
        <v>12</v>
      </c>
      <c r="C37" s="124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27"/>
      <c r="O37" s="110">
        <f t="shared" si="3"/>
        <v>0</v>
      </c>
    </row>
    <row r="38" spans="2:28" x14ac:dyDescent="0.3">
      <c r="B38" s="126" t="s">
        <v>145</v>
      </c>
      <c r="C38" s="124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27"/>
      <c r="O38" s="110">
        <f>SUM(C38:N38)</f>
        <v>0</v>
      </c>
    </row>
    <row r="39" spans="2:28" ht="15" thickBot="1" x14ac:dyDescent="0.35">
      <c r="B39" s="128" t="s">
        <v>146</v>
      </c>
      <c r="C39" s="28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29"/>
      <c r="O39" s="97">
        <f t="shared" si="3"/>
        <v>0</v>
      </c>
    </row>
    <row r="40" spans="2:28" ht="15" thickBot="1" x14ac:dyDescent="0.35">
      <c r="B40" s="120" t="s">
        <v>10</v>
      </c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09"/>
    </row>
    <row r="41" spans="2:28" ht="18.600000000000001" thickBot="1" x14ac:dyDescent="0.35">
      <c r="B41" s="166" t="s">
        <v>126</v>
      </c>
      <c r="C41" s="167"/>
      <c r="D41" s="168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9"/>
    </row>
    <row r="42" spans="2:28" x14ac:dyDescent="0.3">
      <c r="B42" s="125" t="s">
        <v>113</v>
      </c>
      <c r="C42" s="129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2"/>
      <c r="O42" s="12">
        <f>SUM(C42:N42)</f>
        <v>0</v>
      </c>
    </row>
    <row r="43" spans="2:28" x14ac:dyDescent="0.3">
      <c r="B43" s="126" t="s">
        <v>14</v>
      </c>
      <c r="C43" s="124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4"/>
      <c r="O43" s="13">
        <f t="shared" ref="O43:O48" si="4">SUM(C43:N43)</f>
        <v>0</v>
      </c>
    </row>
    <row r="44" spans="2:28" x14ac:dyDescent="0.3">
      <c r="B44" s="126" t="s">
        <v>15</v>
      </c>
      <c r="C44" s="124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4"/>
      <c r="O44" s="13">
        <f t="shared" si="4"/>
        <v>0</v>
      </c>
    </row>
    <row r="45" spans="2:28" x14ac:dyDescent="0.3">
      <c r="B45" s="126" t="s">
        <v>4</v>
      </c>
      <c r="C45" s="124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4"/>
      <c r="O45" s="13">
        <f t="shared" si="4"/>
        <v>0</v>
      </c>
    </row>
    <row r="46" spans="2:28" x14ac:dyDescent="0.3">
      <c r="B46" s="126" t="s">
        <v>12</v>
      </c>
      <c r="C46" s="12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4"/>
      <c r="O46" s="13">
        <f t="shared" si="4"/>
        <v>0</v>
      </c>
    </row>
    <row r="47" spans="2:28" x14ac:dyDescent="0.3">
      <c r="B47" s="126" t="s">
        <v>145</v>
      </c>
      <c r="C47" s="124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4"/>
      <c r="O47" s="13">
        <f t="shared" si="4"/>
        <v>0</v>
      </c>
    </row>
    <row r="48" spans="2:28" ht="15" thickBot="1" x14ac:dyDescent="0.35">
      <c r="B48" s="128" t="s">
        <v>146</v>
      </c>
      <c r="C48" s="98"/>
      <c r="D48" s="105"/>
      <c r="E48" s="105"/>
      <c r="F48" s="105"/>
      <c r="G48" s="105"/>
      <c r="H48" s="105"/>
      <c r="I48" s="105"/>
      <c r="J48" s="103"/>
      <c r="K48" s="105"/>
      <c r="L48" s="105"/>
      <c r="M48" s="105"/>
      <c r="N48" s="106"/>
      <c r="O48" s="14">
        <f t="shared" si="4"/>
        <v>0</v>
      </c>
    </row>
    <row r="50" spans="1:3" ht="15" thickBot="1" x14ac:dyDescent="0.35"/>
    <row r="51" spans="1:3" x14ac:dyDescent="0.3">
      <c r="A51" s="132"/>
      <c r="B51" s="133" t="s">
        <v>156</v>
      </c>
      <c r="C51" s="134"/>
    </row>
    <row r="52" spans="1:3" x14ac:dyDescent="0.3">
      <c r="A52" s="135">
        <v>1</v>
      </c>
      <c r="B52" s="4">
        <v>200</v>
      </c>
      <c r="C52" s="136" t="s">
        <v>157</v>
      </c>
    </row>
    <row r="53" spans="1:3" ht="28.8" x14ac:dyDescent="0.3">
      <c r="A53" s="135">
        <v>2</v>
      </c>
      <c r="B53" s="4">
        <v>150</v>
      </c>
      <c r="C53" s="139" t="s">
        <v>158</v>
      </c>
    </row>
    <row r="54" spans="1:3" x14ac:dyDescent="0.3">
      <c r="A54" s="135">
        <v>3</v>
      </c>
      <c r="B54" s="4">
        <v>542.5</v>
      </c>
      <c r="C54" s="136" t="s">
        <v>159</v>
      </c>
    </row>
    <row r="55" spans="1:3" x14ac:dyDescent="0.3">
      <c r="A55" s="135"/>
      <c r="B55" s="4"/>
      <c r="C55" s="136"/>
    </row>
    <row r="56" spans="1:3" x14ac:dyDescent="0.3">
      <c r="A56" s="135"/>
      <c r="B56" s="4"/>
      <c r="C56" s="136"/>
    </row>
    <row r="57" spans="1:3" x14ac:dyDescent="0.3">
      <c r="A57" s="135"/>
      <c r="B57" s="4"/>
      <c r="C57" s="136"/>
    </row>
    <row r="58" spans="1:3" x14ac:dyDescent="0.3">
      <c r="A58" s="135"/>
      <c r="B58" s="4"/>
      <c r="C58" s="136"/>
    </row>
    <row r="59" spans="1:3" ht="15" thickBot="1" x14ac:dyDescent="0.35">
      <c r="A59" s="137"/>
      <c r="B59" s="140"/>
      <c r="C59" s="138"/>
    </row>
  </sheetData>
  <mergeCells count="53">
    <mergeCell ref="R30:W30"/>
    <mergeCell ref="X30:AC31"/>
    <mergeCell ref="R31:W31"/>
    <mergeCell ref="B32:O32"/>
    <mergeCell ref="B41:O41"/>
    <mergeCell ref="T35:U35"/>
    <mergeCell ref="T36:U36"/>
    <mergeCell ref="R35:S35"/>
    <mergeCell ref="R36:S36"/>
    <mergeCell ref="W34:AB34"/>
    <mergeCell ref="W35:AB36"/>
    <mergeCell ref="R26:W26"/>
    <mergeCell ref="X26:AC27"/>
    <mergeCell ref="R27:W27"/>
    <mergeCell ref="R28:W28"/>
    <mergeCell ref="X28:AC29"/>
    <mergeCell ref="R29:W29"/>
    <mergeCell ref="R22:W22"/>
    <mergeCell ref="X22:AC23"/>
    <mergeCell ref="R23:W23"/>
    <mergeCell ref="R24:W24"/>
    <mergeCell ref="X24:AC25"/>
    <mergeCell ref="R25:W25"/>
    <mergeCell ref="R18:W18"/>
    <mergeCell ref="X18:AC19"/>
    <mergeCell ref="R19:W19"/>
    <mergeCell ref="R20:W20"/>
    <mergeCell ref="X20:AC21"/>
    <mergeCell ref="R21:W21"/>
    <mergeCell ref="R14:W14"/>
    <mergeCell ref="X14:AC15"/>
    <mergeCell ref="R15:W15"/>
    <mergeCell ref="R16:W16"/>
    <mergeCell ref="X16:AC17"/>
    <mergeCell ref="R17:W17"/>
    <mergeCell ref="X10:AC11"/>
    <mergeCell ref="R11:W11"/>
    <mergeCell ref="R12:W12"/>
    <mergeCell ref="X12:AC13"/>
    <mergeCell ref="R13:W13"/>
    <mergeCell ref="R10:W10"/>
    <mergeCell ref="B2:AC2"/>
    <mergeCell ref="R3:W3"/>
    <mergeCell ref="X3:AC3"/>
    <mergeCell ref="R4:W4"/>
    <mergeCell ref="X4:AC5"/>
    <mergeCell ref="R5:W5"/>
    <mergeCell ref="R6:W6"/>
    <mergeCell ref="X6:AC7"/>
    <mergeCell ref="R7:W7"/>
    <mergeCell ref="R8:W8"/>
    <mergeCell ref="X8:AC9"/>
    <mergeCell ref="R9:W9"/>
  </mergeCells>
  <conditionalFormatting sqref="R4:AC19">
    <cfRule type="dataBar" priority="22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{AF7D454A-88D0-4B76-900F-EE979479C8C9}</x14:id>
        </ext>
      </extLst>
    </cfRule>
  </conditionalFormatting>
  <conditionalFormatting sqref="R20:AC21">
    <cfRule type="dataBar" priority="21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{F891B881-F350-40A5-BFF4-02177DA59DF9}</x14:id>
        </ext>
      </extLst>
    </cfRule>
  </conditionalFormatting>
  <conditionalFormatting sqref="R22:AC23">
    <cfRule type="dataBar" priority="20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{DA7C16E1-F8CE-42C6-955C-6072F39EE03A}</x14:id>
        </ext>
      </extLst>
    </cfRule>
  </conditionalFormatting>
  <conditionalFormatting sqref="R24:AC25">
    <cfRule type="dataBar" priority="19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{E55ABE39-BB06-4999-900A-2901FDE40CAB}</x14:id>
        </ext>
      </extLst>
    </cfRule>
  </conditionalFormatting>
  <conditionalFormatting sqref="R26:AC27">
    <cfRule type="dataBar" priority="18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{DC3BC9FD-A400-40CF-AB6A-C2D40F897EB7}</x14:id>
        </ext>
      </extLst>
    </cfRule>
  </conditionalFormatting>
  <conditionalFormatting sqref="R28:AC29">
    <cfRule type="dataBar" priority="17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{B8483054-C3B2-4B96-A495-F4975D083222}</x14:id>
        </ext>
      </extLst>
    </cfRule>
  </conditionalFormatting>
  <conditionalFormatting sqref="R30:AC31">
    <cfRule type="dataBar" priority="16">
      <dataBar>
        <cfvo type="num" val="0"/>
        <cfvo type="num" val="100%"/>
        <color rgb="FFD2E9FA"/>
      </dataBar>
      <extLst>
        <ext xmlns:x14="http://schemas.microsoft.com/office/spreadsheetml/2009/9/main" uri="{B025F937-C7B1-47D3-B67F-A62EFF666E3E}">
          <x14:id>{83E2D91B-1154-460B-ABD4-2BF052828DA2}</x14:id>
        </ext>
      </extLst>
    </cfRule>
  </conditionalFormatting>
  <conditionalFormatting sqref="C42:N48">
    <cfRule type="cellIs" dxfId="3" priority="15" operator="notEqual">
      <formula>0</formula>
    </cfRule>
  </conditionalFormatting>
  <conditionalFormatting sqref="C33:N40">
    <cfRule type="cellIs" dxfId="2" priority="12" operator="notEqual">
      <formula>0</formula>
    </cfRule>
  </conditionalFormatting>
  <conditionalFormatting sqref="C4:N31">
    <cfRule type="cellIs" dxfId="1" priority="11" operator="notEqual">
      <formula>0</formula>
    </cfRule>
  </conditionalFormatting>
  <conditionalFormatting sqref="W35:AB36">
    <cfRule type="dataBar" priority="9">
      <dataBar>
        <cfvo type="num" val="0"/>
        <cfvo type="num" val="100%"/>
        <color rgb="FFCCCCFF"/>
      </dataBar>
      <extLst>
        <ext xmlns:x14="http://schemas.microsoft.com/office/spreadsheetml/2009/9/main" uri="{B025F937-C7B1-47D3-B67F-A62EFF666E3E}">
          <x14:id>{F3D99891-1766-424F-B959-F3DDD4258A83}</x14:id>
        </ext>
      </extLst>
    </cfRule>
  </conditionalFormatting>
  <conditionalFormatting sqref="O4:O31 O33:O40 O42:O48">
    <cfRule type="cellIs" dxfId="0" priority="8" operator="notEqual">
      <formula>0</formula>
    </cfRule>
  </conditionalFormatting>
  <conditionalFormatting sqref="R4:W31">
    <cfRule type="colorScale" priority="5">
      <colorScale>
        <cfvo type="formula" val="1"/>
        <cfvo type="formula" val="1.1"/>
        <cfvo type="formula" val="1.25"/>
        <color rgb="FF00B050"/>
        <color rgb="FFFFC000"/>
        <color rgb="FFFF0000"/>
      </colorScale>
    </cfRule>
    <cfRule type="colorScale" priority="6">
      <colorScale>
        <cfvo type="formula" val="0"/>
        <cfvo type="percent" val="1.5"/>
        <color rgb="FF92D050"/>
        <color rgb="FFFF0000"/>
      </colorScale>
    </cfRule>
  </conditionalFormatting>
  <conditionalFormatting sqref="Q4:Q31">
    <cfRule type="colorScale" priority="4">
      <colorScale>
        <cfvo type="min"/>
        <cfvo type="percentile" val="25"/>
        <cfvo type="max"/>
        <color rgb="FF00B050"/>
        <color rgb="FFFFEB84"/>
        <color rgb="FFFF0000"/>
      </colorScale>
    </cfRule>
    <cfRule type="colorScale" priority="3">
      <colorScale>
        <cfvo type="min"/>
        <cfvo type="max"/>
        <color rgb="FF00B050"/>
        <color rgb="FFFF0000"/>
      </colorScale>
    </cfRule>
    <cfRule type="colorScale" priority="2">
      <colorScale>
        <cfvo type="num" val="0"/>
        <cfvo type="num" val="500"/>
        <color rgb="FF92D050"/>
        <color rgb="FFFFEF9C"/>
      </colorScale>
    </cfRule>
    <cfRule type="colorScale" priority="1">
      <colorScale>
        <cfvo type="num" val="0"/>
        <cfvo type="num" val="40"/>
        <color rgb="FF00B050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7D454A-88D0-4B76-900F-EE979479C8C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R4:AC19</xm:sqref>
        </x14:conditionalFormatting>
        <x14:conditionalFormatting xmlns:xm="http://schemas.microsoft.com/office/excel/2006/main">
          <x14:cfRule type="dataBar" id="{F891B881-F350-40A5-BFF4-02177DA59DF9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R20:AC21</xm:sqref>
        </x14:conditionalFormatting>
        <x14:conditionalFormatting xmlns:xm="http://schemas.microsoft.com/office/excel/2006/main">
          <x14:cfRule type="dataBar" id="{DA7C16E1-F8CE-42C6-955C-6072F39EE03A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R22:AC23</xm:sqref>
        </x14:conditionalFormatting>
        <x14:conditionalFormatting xmlns:xm="http://schemas.microsoft.com/office/excel/2006/main">
          <x14:cfRule type="dataBar" id="{E55ABE39-BB06-4999-900A-2901FDE40CAB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R24:AC25</xm:sqref>
        </x14:conditionalFormatting>
        <x14:conditionalFormatting xmlns:xm="http://schemas.microsoft.com/office/excel/2006/main">
          <x14:cfRule type="dataBar" id="{DC3BC9FD-A400-40CF-AB6A-C2D40F897EB7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R26:AC27</xm:sqref>
        </x14:conditionalFormatting>
        <x14:conditionalFormatting xmlns:xm="http://schemas.microsoft.com/office/excel/2006/main">
          <x14:cfRule type="dataBar" id="{B8483054-C3B2-4B96-A495-F4975D083222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R28:AC29</xm:sqref>
        </x14:conditionalFormatting>
        <x14:conditionalFormatting xmlns:xm="http://schemas.microsoft.com/office/excel/2006/main">
          <x14:cfRule type="dataBar" id="{83E2D91B-1154-460B-ABD4-2BF052828DA2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R30:AC31</xm:sqref>
        </x14:conditionalFormatting>
        <x14:conditionalFormatting xmlns:xm="http://schemas.microsoft.com/office/excel/2006/main">
          <x14:cfRule type="dataBar" id="{F3D99891-1766-424F-B959-F3DDD4258A83}">
            <x14:dataBar minLength="0" maxLength="100" gradient="0" direction="leftToRight">
              <x14:cfvo type="num">
                <xm:f>0</xm:f>
              </x14:cfvo>
              <x14:cfvo type="num">
                <xm:f>100%</xm:f>
              </x14:cfvo>
              <x14:negativeFillColor rgb="FFFF0000"/>
              <x14:axisColor rgb="FF000000"/>
            </x14:dataBar>
          </x14:cfRule>
          <xm:sqref>W35:AB36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"/>
  <dimension ref="A1:N100"/>
  <sheetViews>
    <sheetView zoomScale="80" zoomScaleNormal="80" workbookViewId="0">
      <selection activeCell="K19" sqref="K19"/>
    </sheetView>
  </sheetViews>
  <sheetFormatPr baseColWidth="10" defaultColWidth="11.44140625" defaultRowHeight="14.4" x14ac:dyDescent="0.3"/>
  <cols>
    <col min="1" max="1" width="25" style="5" customWidth="1"/>
    <col min="2" max="2" width="9.44140625" style="5" customWidth="1"/>
    <col min="3" max="3" width="22.5546875" style="5" customWidth="1"/>
    <col min="4" max="4" width="9.5546875" style="5" customWidth="1"/>
    <col min="5" max="5" width="18.5546875" style="5" customWidth="1"/>
    <col min="6" max="6" width="17.5546875" style="5" customWidth="1"/>
    <col min="7" max="7" width="24" style="5" customWidth="1"/>
    <col min="8" max="8" width="11.44140625" style="5"/>
    <col min="9" max="9" width="32.109375" style="5" customWidth="1"/>
    <col min="11" max="11" width="81.109375" customWidth="1"/>
    <col min="13" max="13" width="24.88671875" customWidth="1"/>
  </cols>
  <sheetData>
    <row r="1" spans="1:14" ht="21.6" thickBot="1" x14ac:dyDescent="0.45">
      <c r="A1" s="179" t="s">
        <v>122</v>
      </c>
      <c r="B1" s="180"/>
      <c r="C1" s="180"/>
      <c r="D1" s="180"/>
      <c r="E1" s="181"/>
      <c r="G1" s="182" t="s">
        <v>124</v>
      </c>
      <c r="H1" s="183"/>
      <c r="K1" s="190" t="s">
        <v>123</v>
      </c>
      <c r="L1" s="191"/>
      <c r="M1" s="191"/>
      <c r="N1" s="192"/>
    </row>
    <row r="2" spans="1:14" ht="18.600000000000001" thickBot="1" x14ac:dyDescent="0.35">
      <c r="A2" s="81" t="s">
        <v>1</v>
      </c>
      <c r="B2" s="39"/>
      <c r="C2" s="77" t="s">
        <v>16</v>
      </c>
      <c r="D2" s="39"/>
      <c r="E2" s="77" t="s">
        <v>38</v>
      </c>
      <c r="F2" s="9"/>
      <c r="G2" s="184"/>
      <c r="H2" s="185"/>
      <c r="K2" s="51" t="s">
        <v>116</v>
      </c>
      <c r="N2" s="46"/>
    </row>
    <row r="3" spans="1:14" ht="15" thickBot="1" x14ac:dyDescent="0.35">
      <c r="A3" s="80" t="s">
        <v>37</v>
      </c>
      <c r="B3" s="39"/>
      <c r="C3" s="12" t="s">
        <v>113</v>
      </c>
      <c r="D3" s="39"/>
      <c r="E3" s="91" t="s">
        <v>29</v>
      </c>
      <c r="F3" s="9"/>
      <c r="G3" s="186" t="s">
        <v>127</v>
      </c>
      <c r="H3" s="187"/>
      <c r="K3" s="14" t="s">
        <v>140</v>
      </c>
      <c r="N3" s="46"/>
    </row>
    <row r="4" spans="1:14" ht="15" thickBot="1" x14ac:dyDescent="0.35">
      <c r="A4" s="13" t="s">
        <v>126</v>
      </c>
      <c r="B4" s="39"/>
      <c r="C4" s="13" t="s">
        <v>14</v>
      </c>
      <c r="D4" s="39"/>
      <c r="E4" s="90" t="s">
        <v>31</v>
      </c>
      <c r="F4" s="9"/>
      <c r="G4" s="32" t="s">
        <v>84</v>
      </c>
      <c r="H4" s="33">
        <f>SUM(debut:fin!M9)</f>
        <v>0</v>
      </c>
      <c r="K4" s="47"/>
      <c r="N4" s="46"/>
    </row>
    <row r="5" spans="1:14" ht="14.4" customHeight="1" thickBot="1" x14ac:dyDescent="0.35">
      <c r="A5" s="82" t="s">
        <v>153</v>
      </c>
      <c r="B5" s="39"/>
      <c r="C5" s="13" t="s">
        <v>15</v>
      </c>
      <c r="D5" s="39"/>
      <c r="E5" s="90" t="s">
        <v>30</v>
      </c>
      <c r="G5" s="24" t="s">
        <v>85</v>
      </c>
      <c r="H5" s="25">
        <f>SUM(debut:fin!M10)</f>
        <v>0</v>
      </c>
      <c r="K5" s="15" t="s">
        <v>117</v>
      </c>
      <c r="N5" s="46"/>
    </row>
    <row r="6" spans="1:14" ht="15.9" customHeight="1" x14ac:dyDescent="0.3">
      <c r="A6" s="10"/>
      <c r="B6" s="39"/>
      <c r="C6" s="13" t="s">
        <v>131</v>
      </c>
      <c r="D6" s="39"/>
      <c r="E6" s="90" t="s">
        <v>32</v>
      </c>
      <c r="G6" s="32" t="s">
        <v>86</v>
      </c>
      <c r="H6" s="33">
        <f>SUM(debut:fin!M11)</f>
        <v>0</v>
      </c>
      <c r="K6" s="18" t="s">
        <v>119</v>
      </c>
      <c r="N6" s="46"/>
    </row>
    <row r="7" spans="1:14" ht="15" thickBot="1" x14ac:dyDescent="0.35">
      <c r="A7" s="10"/>
      <c r="B7" s="39"/>
      <c r="C7" s="13" t="s">
        <v>12</v>
      </c>
      <c r="D7" s="39"/>
      <c r="E7" s="90" t="s">
        <v>39</v>
      </c>
      <c r="G7" s="24" t="s">
        <v>87</v>
      </c>
      <c r="H7" s="25">
        <f>SUM(debut:fin!M12)</f>
        <v>0</v>
      </c>
      <c r="K7" s="19" t="s">
        <v>120</v>
      </c>
      <c r="N7" s="46"/>
    </row>
    <row r="8" spans="1:14" x14ac:dyDescent="0.3">
      <c r="A8" s="10"/>
      <c r="B8" s="39"/>
      <c r="C8" s="13" t="s">
        <v>145</v>
      </c>
      <c r="D8" s="39"/>
      <c r="E8" s="90" t="s">
        <v>40</v>
      </c>
      <c r="G8" s="32" t="s">
        <v>88</v>
      </c>
      <c r="H8" s="33">
        <f>SUM(debut:fin!M13)</f>
        <v>0</v>
      </c>
      <c r="K8" s="18" t="s">
        <v>118</v>
      </c>
      <c r="N8" s="46"/>
    </row>
    <row r="9" spans="1:14" ht="15" thickBot="1" x14ac:dyDescent="0.35">
      <c r="A9" s="10"/>
      <c r="B9" s="39"/>
      <c r="C9" s="13" t="s">
        <v>146</v>
      </c>
      <c r="D9" s="39"/>
      <c r="E9" s="90" t="s">
        <v>41</v>
      </c>
      <c r="G9" s="24" t="s">
        <v>89</v>
      </c>
      <c r="H9" s="25">
        <f>SUM(debut:fin!M14)</f>
        <v>0</v>
      </c>
      <c r="K9" s="20" t="s">
        <v>120</v>
      </c>
      <c r="N9" s="46"/>
    </row>
    <row r="10" spans="1:14" x14ac:dyDescent="0.3">
      <c r="A10" s="10"/>
      <c r="B10" s="39"/>
      <c r="C10" s="13"/>
      <c r="D10" s="39"/>
      <c r="E10" s="90" t="s">
        <v>42</v>
      </c>
      <c r="G10" s="32" t="s">
        <v>90</v>
      </c>
      <c r="H10" s="33">
        <f>SUM(debut:fin!M15)</f>
        <v>0</v>
      </c>
      <c r="K10" s="47"/>
      <c r="N10" s="46"/>
    </row>
    <row r="11" spans="1:14" ht="15" thickBot="1" x14ac:dyDescent="0.35">
      <c r="A11" s="10"/>
      <c r="B11" s="39"/>
      <c r="C11" s="78"/>
      <c r="D11" s="39"/>
      <c r="E11" s="90" t="s">
        <v>43</v>
      </c>
      <c r="F11" s="9"/>
      <c r="G11" s="24" t="s">
        <v>91</v>
      </c>
      <c r="H11" s="25">
        <f>SUM(debut:fin!M16)</f>
        <v>0</v>
      </c>
      <c r="K11" s="47"/>
      <c r="N11" s="46"/>
    </row>
    <row r="12" spans="1:14" x14ac:dyDescent="0.3">
      <c r="A12" s="10"/>
      <c r="B12" s="39"/>
      <c r="C12" s="78"/>
      <c r="D12" s="39"/>
      <c r="E12" s="90" t="s">
        <v>44</v>
      </c>
      <c r="F12" s="9"/>
      <c r="G12" s="32" t="s">
        <v>92</v>
      </c>
      <c r="H12" s="33">
        <f>SUM(debut:fin!M17)</f>
        <v>0</v>
      </c>
      <c r="K12" s="47"/>
      <c r="N12" s="46"/>
    </row>
    <row r="13" spans="1:14" ht="15" thickBot="1" x14ac:dyDescent="0.35">
      <c r="A13" s="11"/>
      <c r="B13" s="39"/>
      <c r="C13" s="79"/>
      <c r="D13" s="39"/>
      <c r="E13" s="90" t="s">
        <v>33</v>
      </c>
      <c r="F13" s="9"/>
      <c r="G13" s="24" t="s">
        <v>93</v>
      </c>
      <c r="H13" s="25">
        <f>SUM(debut:fin!M18)</f>
        <v>0</v>
      </c>
      <c r="K13" s="47"/>
      <c r="N13" s="46"/>
    </row>
    <row r="14" spans="1:14" x14ac:dyDescent="0.3">
      <c r="A14" s="40"/>
      <c r="B14" s="39"/>
      <c r="D14" s="39"/>
      <c r="E14" s="90" t="s">
        <v>35</v>
      </c>
      <c r="G14" s="32" t="s">
        <v>94</v>
      </c>
      <c r="H14" s="33">
        <f>SUM(debut:fin!M19)</f>
        <v>0</v>
      </c>
      <c r="K14" s="47"/>
      <c r="N14" s="46"/>
    </row>
    <row r="15" spans="1:14" ht="15" thickBot="1" x14ac:dyDescent="0.35">
      <c r="A15" s="40"/>
      <c r="B15" s="39"/>
      <c r="D15" s="39"/>
      <c r="E15" s="90" t="s">
        <v>36</v>
      </c>
      <c r="G15" s="24" t="s">
        <v>95</v>
      </c>
      <c r="H15" s="25">
        <f>SUM(debut:fin!M20)</f>
        <v>0</v>
      </c>
      <c r="K15" s="47"/>
      <c r="N15" s="46"/>
    </row>
    <row r="16" spans="1:14" x14ac:dyDescent="0.3">
      <c r="A16" s="38"/>
      <c r="B16" s="39"/>
      <c r="D16" s="39"/>
      <c r="E16" s="90" t="s">
        <v>34</v>
      </c>
      <c r="G16" s="32" t="s">
        <v>96</v>
      </c>
      <c r="H16" s="33">
        <f>SUM(debut:fin!M21)</f>
        <v>0</v>
      </c>
      <c r="K16" s="47"/>
      <c r="N16" s="46"/>
    </row>
    <row r="17" spans="1:14" ht="15" thickBot="1" x14ac:dyDescent="0.35">
      <c r="A17" s="36"/>
      <c r="E17" s="107" t="s">
        <v>126</v>
      </c>
      <c r="G17" s="24" t="s">
        <v>98</v>
      </c>
      <c r="H17" s="25">
        <f>SUM(debut:fin!M22)</f>
        <v>0</v>
      </c>
      <c r="K17" s="47"/>
      <c r="N17" s="46"/>
    </row>
    <row r="18" spans="1:14" ht="15" thickBot="1" x14ac:dyDescent="0.35">
      <c r="A18" s="36"/>
      <c r="E18" s="108"/>
      <c r="G18" s="32" t="s">
        <v>99</v>
      </c>
      <c r="H18" s="33">
        <f>SUM(debut:fin!M23)</f>
        <v>0</v>
      </c>
      <c r="K18" s="47"/>
      <c r="N18" s="46"/>
    </row>
    <row r="19" spans="1:14" ht="18.600000000000001" thickBot="1" x14ac:dyDescent="0.35">
      <c r="A19" s="15" t="s">
        <v>114</v>
      </c>
      <c r="B19" s="7"/>
      <c r="C19" s="85" t="s">
        <v>3</v>
      </c>
      <c r="D19" s="7"/>
      <c r="E19" s="10"/>
      <c r="G19" s="24" t="s">
        <v>97</v>
      </c>
      <c r="H19" s="25">
        <f>SUM(debut:fin!M24)</f>
        <v>0</v>
      </c>
      <c r="K19" s="47"/>
      <c r="N19" s="46"/>
    </row>
    <row r="20" spans="1:14" x14ac:dyDescent="0.3">
      <c r="A20" s="10" t="s">
        <v>115</v>
      </c>
      <c r="B20" s="7"/>
      <c r="C20" s="84" t="s">
        <v>128</v>
      </c>
      <c r="D20" s="7"/>
      <c r="E20" s="80"/>
      <c r="G20" s="32" t="s">
        <v>100</v>
      </c>
      <c r="H20" s="33">
        <f>SUM(debut:fin!M25)</f>
        <v>0</v>
      </c>
      <c r="K20" s="47"/>
      <c r="N20" s="46"/>
    </row>
    <row r="21" spans="1:14" ht="15" thickBot="1" x14ac:dyDescent="0.35">
      <c r="A21" s="13" t="s">
        <v>143</v>
      </c>
      <c r="B21" s="7"/>
      <c r="C21" s="82" t="s">
        <v>129</v>
      </c>
      <c r="D21" s="7"/>
      <c r="E21" s="13"/>
      <c r="G21" s="24" t="s">
        <v>101</v>
      </c>
      <c r="H21" s="25">
        <f>SUM(debut:fin!M26)</f>
        <v>0</v>
      </c>
      <c r="K21" s="47"/>
      <c r="N21" s="46"/>
    </row>
    <row r="22" spans="1:14" x14ac:dyDescent="0.3">
      <c r="A22" s="13" t="s">
        <v>133</v>
      </c>
      <c r="B22" s="7"/>
      <c r="C22" s="82"/>
      <c r="D22" s="7"/>
      <c r="E22" s="13"/>
      <c r="G22" s="34" t="s">
        <v>102</v>
      </c>
      <c r="H22" s="33">
        <f>SUM(debut:fin!M27)</f>
        <v>0</v>
      </c>
      <c r="K22" s="47"/>
      <c r="N22" s="46"/>
    </row>
    <row r="23" spans="1:14" ht="15" thickBot="1" x14ac:dyDescent="0.35">
      <c r="A23" s="13" t="s">
        <v>134</v>
      </c>
      <c r="B23" s="7"/>
      <c r="C23" s="82"/>
      <c r="E23" s="13"/>
      <c r="G23" s="30" t="s">
        <v>103</v>
      </c>
      <c r="H23" s="25">
        <f>SUM(debut:fin!M28)</f>
        <v>0</v>
      </c>
      <c r="K23" s="47"/>
      <c r="N23" s="46"/>
    </row>
    <row r="24" spans="1:14" x14ac:dyDescent="0.3">
      <c r="A24" s="13" t="s">
        <v>135</v>
      </c>
      <c r="B24" s="7"/>
      <c r="C24" s="82"/>
      <c r="E24" s="13"/>
      <c r="F24" s="9"/>
      <c r="G24" s="32" t="s">
        <v>104</v>
      </c>
      <c r="H24" s="33">
        <f>SUM(debut:fin!M29)</f>
        <v>0</v>
      </c>
      <c r="K24" s="47"/>
      <c r="N24" s="46"/>
    </row>
    <row r="25" spans="1:14" ht="15" thickBot="1" x14ac:dyDescent="0.35">
      <c r="A25" s="13" t="s">
        <v>136</v>
      </c>
      <c r="B25" s="7"/>
      <c r="C25" s="82"/>
      <c r="E25" s="13"/>
      <c r="G25" s="24" t="s">
        <v>105</v>
      </c>
      <c r="H25" s="25">
        <f>SUM(debut:fin!M30)</f>
        <v>0</v>
      </c>
      <c r="K25" s="47"/>
      <c r="N25" s="46"/>
    </row>
    <row r="26" spans="1:14" x14ac:dyDescent="0.3">
      <c r="A26" s="13" t="s">
        <v>137</v>
      </c>
      <c r="B26" s="7"/>
      <c r="C26" s="82"/>
      <c r="E26" s="13"/>
      <c r="G26" s="32" t="s">
        <v>106</v>
      </c>
      <c r="H26" s="33">
        <f>SUM(debut:fin!M31)</f>
        <v>0</v>
      </c>
      <c r="K26" s="47"/>
      <c r="N26" s="46"/>
    </row>
    <row r="27" spans="1:14" ht="15" thickBot="1" x14ac:dyDescent="0.35">
      <c r="A27" s="13" t="s">
        <v>144</v>
      </c>
      <c r="B27" s="7"/>
      <c r="C27" s="82"/>
      <c r="E27" s="13"/>
      <c r="G27" s="24" t="s">
        <v>107</v>
      </c>
      <c r="H27" s="25">
        <f>SUM(debut:fin!M32)</f>
        <v>0</v>
      </c>
      <c r="K27" s="47"/>
      <c r="N27" s="46"/>
    </row>
    <row r="28" spans="1:14" x14ac:dyDescent="0.3">
      <c r="A28" s="13" t="s">
        <v>138</v>
      </c>
      <c r="B28" s="7"/>
      <c r="C28" s="82"/>
      <c r="E28" s="13"/>
      <c r="G28" s="32" t="s">
        <v>108</v>
      </c>
      <c r="H28" s="33">
        <f>SUM(debut:fin!M33)</f>
        <v>0</v>
      </c>
      <c r="K28" s="47"/>
      <c r="N28" s="46"/>
    </row>
    <row r="29" spans="1:14" ht="15" thickBot="1" x14ac:dyDescent="0.35">
      <c r="A29" s="13" t="s">
        <v>139</v>
      </c>
      <c r="C29" s="82"/>
      <c r="E29" s="13"/>
      <c r="G29" s="24" t="s">
        <v>109</v>
      </c>
      <c r="H29" s="25">
        <f>SUM(debut:fin!M34)</f>
        <v>0</v>
      </c>
      <c r="K29" s="47"/>
      <c r="N29" s="46"/>
    </row>
    <row r="30" spans="1:14" x14ac:dyDescent="0.3">
      <c r="A30" s="13" t="s">
        <v>140</v>
      </c>
      <c r="C30" s="82"/>
      <c r="E30" s="13"/>
      <c r="G30" s="34" t="s">
        <v>110</v>
      </c>
      <c r="H30" s="33">
        <f>SUM(debut:fin!M35)</f>
        <v>0</v>
      </c>
      <c r="K30" s="47"/>
      <c r="N30" s="46"/>
    </row>
    <row r="31" spans="1:14" ht="15" thickBot="1" x14ac:dyDescent="0.35">
      <c r="A31" s="13" t="s">
        <v>141</v>
      </c>
      <c r="C31" s="82"/>
      <c r="E31" s="13"/>
      <c r="G31" s="24" t="s">
        <v>111</v>
      </c>
      <c r="H31" s="25">
        <f>SUM(debut:fin!M36)</f>
        <v>0</v>
      </c>
      <c r="K31" s="47"/>
      <c r="N31" s="46"/>
    </row>
    <row r="32" spans="1:14" ht="15" thickBot="1" x14ac:dyDescent="0.35">
      <c r="A32" s="13" t="s">
        <v>142</v>
      </c>
      <c r="C32" s="82"/>
      <c r="E32" s="13"/>
      <c r="G32" s="188"/>
      <c r="H32" s="189"/>
      <c r="K32" s="47"/>
      <c r="N32" s="46"/>
    </row>
    <row r="33" spans="1:14" ht="15" thickBot="1" x14ac:dyDescent="0.35">
      <c r="A33" s="13" t="s">
        <v>155</v>
      </c>
      <c r="C33" s="83"/>
      <c r="E33" s="14"/>
      <c r="G33" s="186" t="s">
        <v>130</v>
      </c>
      <c r="H33" s="187"/>
      <c r="K33" s="47"/>
      <c r="N33" s="46"/>
    </row>
    <row r="34" spans="1:14" x14ac:dyDescent="0.3">
      <c r="A34" s="13"/>
      <c r="E34" s="37"/>
      <c r="G34" s="32" t="s">
        <v>113</v>
      </c>
      <c r="H34" s="33">
        <f>SUM(debut:fin!M40)</f>
        <v>0</v>
      </c>
      <c r="K34" s="47"/>
      <c r="N34" s="46"/>
    </row>
    <row r="35" spans="1:14" x14ac:dyDescent="0.3">
      <c r="A35" s="13"/>
      <c r="E35" s="37"/>
      <c r="F35" s="8"/>
      <c r="G35" s="21" t="s">
        <v>14</v>
      </c>
      <c r="H35" s="23">
        <f>SUM(debut:fin!M41)</f>
        <v>0</v>
      </c>
      <c r="K35" s="47"/>
      <c r="N35" s="46"/>
    </row>
    <row r="36" spans="1:14" ht="15" thickBot="1" x14ac:dyDescent="0.35">
      <c r="A36" s="13"/>
      <c r="E36" s="41"/>
      <c r="F36" s="6"/>
      <c r="G36" s="21" t="s">
        <v>15</v>
      </c>
      <c r="H36" s="23">
        <f>SUM(debut:fin!M42)</f>
        <v>0</v>
      </c>
      <c r="K36" s="48"/>
      <c r="L36" s="49"/>
      <c r="M36" s="49"/>
      <c r="N36" s="50"/>
    </row>
    <row r="37" spans="1:14" x14ac:dyDescent="0.3">
      <c r="A37" s="13"/>
      <c r="E37" s="42"/>
      <c r="F37" s="7"/>
      <c r="G37" s="86" t="s">
        <v>4</v>
      </c>
      <c r="H37" s="23">
        <f>SUM(debut:fin!M43)</f>
        <v>0</v>
      </c>
    </row>
    <row r="38" spans="1:14" x14ac:dyDescent="0.3">
      <c r="A38" s="13"/>
      <c r="E38" s="42"/>
      <c r="F38" s="7"/>
      <c r="G38" s="86" t="s">
        <v>12</v>
      </c>
      <c r="H38" s="23">
        <f>SUM(debut:fin!M44)</f>
        <v>0</v>
      </c>
      <c r="I38"/>
    </row>
    <row r="39" spans="1:14" x14ac:dyDescent="0.3">
      <c r="A39" s="13"/>
      <c r="E39" s="42"/>
      <c r="F39" s="7"/>
      <c r="G39" s="86" t="s">
        <v>145</v>
      </c>
      <c r="H39" s="23">
        <f>SUM(debut:fin!M45)</f>
        <v>0</v>
      </c>
      <c r="I39"/>
    </row>
    <row r="40" spans="1:14" ht="15" thickBot="1" x14ac:dyDescent="0.35">
      <c r="A40" s="13"/>
      <c r="E40" s="42"/>
      <c r="F40" s="7"/>
      <c r="G40" s="87" t="s">
        <v>146</v>
      </c>
      <c r="H40" s="25">
        <f>SUM(debut:fin!M46)</f>
        <v>0</v>
      </c>
      <c r="I40"/>
    </row>
    <row r="41" spans="1:14" ht="15" thickBot="1" x14ac:dyDescent="0.35">
      <c r="A41" s="13"/>
      <c r="E41" s="42"/>
      <c r="F41" s="7"/>
      <c r="G41" s="188"/>
      <c r="H41" s="189"/>
      <c r="I41"/>
    </row>
    <row r="42" spans="1:14" ht="15" thickBot="1" x14ac:dyDescent="0.35">
      <c r="A42" s="13"/>
      <c r="E42" s="42"/>
      <c r="F42" s="7"/>
      <c r="G42" s="186" t="s">
        <v>132</v>
      </c>
      <c r="H42" s="187"/>
      <c r="I42"/>
    </row>
    <row r="43" spans="1:14" x14ac:dyDescent="0.3">
      <c r="A43" s="13"/>
      <c r="E43" s="42"/>
      <c r="F43" s="7"/>
      <c r="G43" s="32" t="s">
        <v>113</v>
      </c>
      <c r="H43" s="33">
        <f>SUM(debut:fin!M50)</f>
        <v>0</v>
      </c>
      <c r="I43"/>
    </row>
    <row r="44" spans="1:14" x14ac:dyDescent="0.3">
      <c r="A44" s="13"/>
      <c r="E44" s="42"/>
      <c r="F44" s="7"/>
      <c r="G44" s="21" t="s">
        <v>14</v>
      </c>
      <c r="H44" s="23">
        <f>SUM(debut:fin!M51)</f>
        <v>0</v>
      </c>
      <c r="I44"/>
    </row>
    <row r="45" spans="1:14" x14ac:dyDescent="0.3">
      <c r="A45" s="13"/>
      <c r="E45" s="42"/>
      <c r="F45" s="7"/>
      <c r="G45" s="21" t="s">
        <v>15</v>
      </c>
      <c r="H45" s="23">
        <f>SUM(debut:fin!M52)</f>
        <v>0</v>
      </c>
      <c r="I45"/>
    </row>
    <row r="46" spans="1:14" x14ac:dyDescent="0.3">
      <c r="A46" s="13"/>
      <c r="E46" s="42"/>
      <c r="F46" s="7"/>
      <c r="G46" s="86" t="s">
        <v>4</v>
      </c>
      <c r="H46" s="23">
        <f>SUM(debut:fin!M53)</f>
        <v>0</v>
      </c>
      <c r="I46"/>
    </row>
    <row r="47" spans="1:14" x14ac:dyDescent="0.3">
      <c r="A47" s="13"/>
      <c r="E47" s="42"/>
      <c r="F47" s="7"/>
      <c r="G47" s="86" t="s">
        <v>12</v>
      </c>
      <c r="H47" s="23">
        <f>SUM(debut:fin!M54)</f>
        <v>0</v>
      </c>
    </row>
    <row r="48" spans="1:14" x14ac:dyDescent="0.3">
      <c r="A48" s="13"/>
      <c r="E48" s="42"/>
      <c r="F48" s="7"/>
      <c r="G48" s="86" t="s">
        <v>145</v>
      </c>
      <c r="H48" s="23">
        <f>SUM(debut:fin!M55)</f>
        <v>0</v>
      </c>
    </row>
    <row r="49" spans="1:8" ht="15" thickBot="1" x14ac:dyDescent="0.35">
      <c r="A49" s="13"/>
      <c r="E49" s="42"/>
      <c r="F49" s="7"/>
      <c r="G49" s="87" t="s">
        <v>146</v>
      </c>
      <c r="H49" s="25">
        <f>SUM(debut:fin!M56)</f>
        <v>0</v>
      </c>
    </row>
    <row r="50" spans="1:8" x14ac:dyDescent="0.3">
      <c r="A50" s="16"/>
      <c r="E50" s="42"/>
      <c r="F50" s="7"/>
    </row>
    <row r="51" spans="1:8" x14ac:dyDescent="0.3">
      <c r="A51" s="16"/>
      <c r="E51" s="42"/>
      <c r="F51" s="7"/>
    </row>
    <row r="52" spans="1:8" x14ac:dyDescent="0.3">
      <c r="A52" s="16"/>
      <c r="E52" s="42"/>
      <c r="F52" s="7"/>
    </row>
    <row r="53" spans="1:8" x14ac:dyDescent="0.3">
      <c r="A53" s="16"/>
      <c r="E53" s="42"/>
      <c r="F53" s="7"/>
    </row>
    <row r="54" spans="1:8" x14ac:dyDescent="0.3">
      <c r="A54" s="16"/>
      <c r="E54" s="42"/>
      <c r="F54" s="7"/>
    </row>
    <row r="55" spans="1:8" x14ac:dyDescent="0.3">
      <c r="A55" s="16"/>
      <c r="E55" s="42"/>
      <c r="F55" s="7"/>
    </row>
    <row r="56" spans="1:8" ht="15" thickBot="1" x14ac:dyDescent="0.35">
      <c r="A56" s="17"/>
      <c r="E56" s="42"/>
      <c r="F56" s="7"/>
    </row>
    <row r="57" spans="1:8" ht="15" thickBot="1" x14ac:dyDescent="0.35">
      <c r="A57" s="43"/>
      <c r="B57" s="44"/>
      <c r="C57" s="44"/>
      <c r="D57" s="44"/>
      <c r="E57" s="45"/>
      <c r="F57" s="7"/>
    </row>
    <row r="58" spans="1:8" x14ac:dyDescent="0.3">
      <c r="E58" s="7"/>
      <c r="F58" s="7"/>
    </row>
    <row r="59" spans="1:8" x14ac:dyDescent="0.3">
      <c r="E59" s="7"/>
      <c r="F59" s="7"/>
    </row>
    <row r="60" spans="1:8" x14ac:dyDescent="0.3">
      <c r="C60" s="7"/>
      <c r="E60" s="7"/>
      <c r="F60" s="7"/>
    </row>
    <row r="61" spans="1:8" x14ac:dyDescent="0.3">
      <c r="C61" s="7"/>
      <c r="E61" s="7"/>
      <c r="F61" s="7"/>
    </row>
    <row r="62" spans="1:8" x14ac:dyDescent="0.3">
      <c r="C62" s="7"/>
      <c r="E62" s="7"/>
      <c r="F62" s="7"/>
    </row>
    <row r="63" spans="1:8" x14ac:dyDescent="0.3">
      <c r="C63" s="7"/>
      <c r="E63" s="7"/>
      <c r="F63" s="7"/>
    </row>
    <row r="64" spans="1:8" x14ac:dyDescent="0.3">
      <c r="C64" s="7"/>
      <c r="E64" s="7"/>
      <c r="F64" s="7"/>
    </row>
    <row r="65" spans="3:6" x14ac:dyDescent="0.3">
      <c r="C65" s="7"/>
      <c r="E65" s="7"/>
      <c r="F65" s="7"/>
    </row>
    <row r="66" spans="3:6" x14ac:dyDescent="0.3">
      <c r="C66" s="7"/>
      <c r="E66" s="7"/>
      <c r="F66" s="7"/>
    </row>
    <row r="67" spans="3:6" x14ac:dyDescent="0.3">
      <c r="C67" s="7"/>
      <c r="E67" s="7"/>
      <c r="F67" s="7"/>
    </row>
    <row r="68" spans="3:6" x14ac:dyDescent="0.3">
      <c r="C68" s="7"/>
      <c r="E68" s="7"/>
      <c r="F68" s="7"/>
    </row>
    <row r="69" spans="3:6" x14ac:dyDescent="0.3">
      <c r="C69" s="7"/>
      <c r="E69" s="7"/>
      <c r="F69" s="7"/>
    </row>
    <row r="70" spans="3:6" x14ac:dyDescent="0.3">
      <c r="C70" s="7"/>
      <c r="E70" s="7"/>
      <c r="F70" s="7"/>
    </row>
    <row r="71" spans="3:6" x14ac:dyDescent="0.3">
      <c r="C71" s="7"/>
      <c r="E71" s="7"/>
      <c r="F71" s="7"/>
    </row>
    <row r="72" spans="3:6" x14ac:dyDescent="0.3">
      <c r="C72" s="7"/>
      <c r="E72" s="7"/>
      <c r="F72" s="7"/>
    </row>
    <row r="73" spans="3:6" x14ac:dyDescent="0.3">
      <c r="C73" s="7"/>
      <c r="E73" s="7"/>
      <c r="F73" s="7"/>
    </row>
    <row r="74" spans="3:6" x14ac:dyDescent="0.3">
      <c r="C74" s="7"/>
      <c r="E74" s="7"/>
      <c r="F74" s="7"/>
    </row>
    <row r="75" spans="3:6" x14ac:dyDescent="0.3">
      <c r="C75" s="7"/>
      <c r="E75" s="7"/>
      <c r="F75" s="7"/>
    </row>
    <row r="76" spans="3:6" x14ac:dyDescent="0.3">
      <c r="C76" s="7"/>
      <c r="E76" s="7"/>
      <c r="F76" s="7"/>
    </row>
    <row r="77" spans="3:6" x14ac:dyDescent="0.3">
      <c r="C77" s="7"/>
    </row>
    <row r="78" spans="3:6" ht="15" customHeight="1" x14ac:dyDescent="0.3"/>
    <row r="86" ht="15" customHeight="1" x14ac:dyDescent="0.3"/>
    <row r="100" ht="15" customHeight="1" x14ac:dyDescent="0.3"/>
  </sheetData>
  <mergeCells count="8">
    <mergeCell ref="A1:E1"/>
    <mergeCell ref="G1:H2"/>
    <mergeCell ref="G42:H42"/>
    <mergeCell ref="G41:H41"/>
    <mergeCell ref="K1:N1"/>
    <mergeCell ref="G3:H3"/>
    <mergeCell ref="G32:H32"/>
    <mergeCell ref="G33:H33"/>
  </mergeCells>
  <dataValidations count="1">
    <dataValidation type="list" allowBlank="1" showInputMessage="1" showErrorMessage="1" sqref="K3" xr:uid="{454FE454-8483-4088-80F6-4882E2B723F9}">
      <formula1>$A$21:$A$56</formula1>
    </dataValidation>
  </dataValidations>
  <hyperlinks>
    <hyperlink ref="K7" r:id="rId1" xr:uid="{CC7D8C61-A6FE-457E-8624-DBD966350044}"/>
    <hyperlink ref="K9" r:id="rId2" xr:uid="{D465A8A9-CF81-4DB2-81FD-724AF981C1E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mofifiernomfeuilles">
                <anchor moveWithCells="1" sizeWithCells="1">
                  <from>
                    <xdr:col>11</xdr:col>
                    <xdr:colOff>449580</xdr:colOff>
                    <xdr:row>1</xdr:row>
                    <xdr:rowOff>30480</xdr:rowOff>
                  </from>
                  <to>
                    <xdr:col>13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7" name="Button 6">
              <controlPr defaultSize="0" print="0" autoFill="0" autoPict="0" macro="[0]!CopiFile">
                <anchor moveWithCells="1" sizeWithCells="1">
                  <from>
                    <xdr:col>11</xdr:col>
                    <xdr:colOff>449580</xdr:colOff>
                    <xdr:row>5</xdr:row>
                    <xdr:rowOff>38100</xdr:rowOff>
                  </from>
                  <to>
                    <xdr:col>13</xdr:col>
                    <xdr:colOff>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8" name="Button 11">
              <controlPr defaultSize="0" print="0" autoFill="0" autoPict="0" macro="[0]!deProtegerTout">
                <anchor moveWithCells="1" sizeWithCells="1">
                  <from>
                    <xdr:col>11</xdr:col>
                    <xdr:colOff>449580</xdr:colOff>
                    <xdr:row>10</xdr:row>
                    <xdr:rowOff>68580</xdr:rowOff>
                  </from>
                  <to>
                    <xdr:col>12</xdr:col>
                    <xdr:colOff>1714500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9" name="Button 12">
              <controlPr defaultSize="0" print="0" autoFill="0" autoPict="0" macro="[0]!protegerTout">
                <anchor moveWithCells="1" sizeWithCells="1">
                  <from>
                    <xdr:col>11</xdr:col>
                    <xdr:colOff>419100</xdr:colOff>
                    <xdr:row>15</xdr:row>
                    <xdr:rowOff>68580</xdr:rowOff>
                  </from>
                  <to>
                    <xdr:col>12</xdr:col>
                    <xdr:colOff>1714500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4C31-A80C-47BE-9ABF-7EF2C2373A22}">
  <sheetPr codeName="Feuil2"/>
  <dimension ref="B6"/>
  <sheetViews>
    <sheetView workbookViewId="0">
      <selection activeCell="G12" sqref="G12"/>
    </sheetView>
  </sheetViews>
  <sheetFormatPr baseColWidth="10" defaultRowHeight="14.4" x14ac:dyDescent="0.3"/>
  <sheetData>
    <row r="6" spans="2:2" x14ac:dyDescent="0.3">
      <c r="B6" t="s">
        <v>135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euil4"/>
  <dimension ref="A1:M56"/>
  <sheetViews>
    <sheetView topLeftCell="A4" workbookViewId="0">
      <selection activeCell="A11" sqref="A11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18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5"/>
      <c r="M47" s="196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sheetProtection selectLockedCells="1"/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3B7F5-247D-4C88-8D90-D834E35AF196}">
          <x14:formula1>
            <xm:f>SOURCE!$A$3:$A$13</xm:f>
          </x14:formula1>
          <xm:sqref>A11:A33</xm:sqref>
        </x14:dataValidation>
        <x14:dataValidation type="list" allowBlank="1" showInputMessage="1" showErrorMessage="1" xr:uid="{BE35DC83-FF79-494F-93BA-D06B22D886AC}">
          <x14:formula1>
            <xm:f>SOURCE!$E$3:$E$18</xm:f>
          </x14:formula1>
          <xm:sqref>C11:C33</xm:sqref>
        </x14:dataValidation>
        <x14:dataValidation type="list" allowBlank="1" showInputMessage="1" showErrorMessage="1" xr:uid="{25F94891-DE4A-4356-AFAD-9EF82390DAE4}">
          <x14:formula1>
            <xm:f>SOURCE!$C$3:$C$13</xm:f>
          </x14:formula1>
          <xm:sqref>B11:B33</xm:sqref>
        </x14:dataValidation>
        <x14:dataValidation type="list" allowBlank="1" showInputMessage="1" showErrorMessage="1" xr:uid="{111ADB3A-81CD-41EE-802A-EBD1EABA8384}">
          <x14:formula1>
            <xm:f>SOURCE!$C$20:$C$21</xm:f>
          </x14:formula1>
          <xm:sqref>D11:D33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euil5"/>
  <dimension ref="A1:M56"/>
  <sheetViews>
    <sheetView topLeftCell="A15" zoomScaleNormal="100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17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7CF094A-3EFB-4E83-BAB7-0A43812A67F4}">
          <x14:formula1>
            <xm:f>SOURCE!$E$3:$E$18</xm:f>
          </x14:formula1>
          <xm:sqref>C11:C33</xm:sqref>
        </x14:dataValidation>
        <x14:dataValidation type="list" allowBlank="1" showInputMessage="1" showErrorMessage="1" xr:uid="{5CD0FBA5-A6E7-44F0-9433-7815F3205A48}">
          <x14:formula1>
            <xm:f>SOURCE!$C$20:$C$21</xm:f>
          </x14:formula1>
          <xm:sqref>D11:D33</xm:sqref>
        </x14:dataValidation>
        <x14:dataValidation type="list" allowBlank="1" showInputMessage="1" showErrorMessage="1" xr:uid="{80AFEF72-748E-4B3A-AC6A-B2205768F584}">
          <x14:formula1>
            <xm:f>SOURCE!$C$3:$C$13</xm:f>
          </x14:formula1>
          <xm:sqref>B11:B33</xm:sqref>
        </x14:dataValidation>
        <x14:dataValidation type="list" allowBlank="1" showInputMessage="1" showErrorMessage="1" xr:uid="{99C0F207-50E2-4213-9B03-7CC7B54DF58B}">
          <x14:formula1>
            <xm:f>SOURCE!$A$3:$A$13</xm:f>
          </x14:formula1>
          <xm:sqref>A11:A33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euil6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19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E0C048-4670-4837-8E21-B68D81C95CE9}">
          <x14:formula1>
            <xm:f>SOURCE!$E$3:$E$18</xm:f>
          </x14:formula1>
          <xm:sqref>C11:C33</xm:sqref>
        </x14:dataValidation>
        <x14:dataValidation type="list" allowBlank="1" showInputMessage="1" showErrorMessage="1" xr:uid="{0FC3FE98-22D2-4C81-8CBE-DF911B7A8CC0}">
          <x14:formula1>
            <xm:f>SOURCE!$C$20:$C$21</xm:f>
          </x14:formula1>
          <xm:sqref>D11:D33</xm:sqref>
        </x14:dataValidation>
        <x14:dataValidation type="list" allowBlank="1" showInputMessage="1" showErrorMessage="1" xr:uid="{1693B8B7-2C1D-4DA3-9A5D-0B0874F399F3}">
          <x14:formula1>
            <xm:f>SOURCE!$C$3:$C$13</xm:f>
          </x14:formula1>
          <xm:sqref>B11:B33</xm:sqref>
        </x14:dataValidation>
        <x14:dataValidation type="list" allowBlank="1" showInputMessage="1" showErrorMessage="1" xr:uid="{74023723-1E42-4B35-93A8-6A2C4C9CF8CD}">
          <x14:formula1>
            <xm:f>SOURCE!$A$3:$A$13</xm:f>
          </x14:formula1>
          <xm:sqref>A11:A33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euil7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88" t="s">
        <v>113</v>
      </c>
      <c r="M40" s="89">
        <f>SUMIFS($J$11:$J$33,$A$11:$A$33,"=CMN",$B$11:$B$33,"=FORMATION")</f>
        <v>0</v>
      </c>
    </row>
    <row r="41" spans="1:13" x14ac:dyDescent="0.3">
      <c r="L41" s="26" t="s">
        <v>14</v>
      </c>
      <c r="M41" s="27">
        <f>SUMIFS($J$11:$J$33,$A$11:$A$33,"=CMN",$B$11:$B$33,"=GESTION PROJET")</f>
        <v>0</v>
      </c>
    </row>
    <row r="42" spans="1:13" x14ac:dyDescent="0.3">
      <c r="L42" s="26" t="s">
        <v>15</v>
      </c>
      <c r="M42" s="27">
        <f>SUMIFS($J$11:$J$33,$A$11:$A$33,"=CMN",$B$11:$B$33,"=REUNION")</f>
        <v>0</v>
      </c>
    </row>
    <row r="43" spans="1:13" x14ac:dyDescent="0.3">
      <c r="L43" s="26" t="s">
        <v>131</v>
      </c>
      <c r="M43" s="27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88" t="s">
        <v>113</v>
      </c>
      <c r="M50" s="89">
        <f>SUMIFS($J$11:$J$33,$A$11:$A$33,"=AUTRE",$B$11:$B$33,"=FORMATION")</f>
        <v>0</v>
      </c>
    </row>
    <row r="51" spans="12:13" x14ac:dyDescent="0.3">
      <c r="L51" s="26" t="s">
        <v>14</v>
      </c>
      <c r="M51" s="27">
        <f>SUMIFS($J$11:$J$33,$A$11:$A$33,"=AUTRE",$B$11:$B$33,"=GESTION PROJET")</f>
        <v>0</v>
      </c>
    </row>
    <row r="52" spans="12:13" x14ac:dyDescent="0.3">
      <c r="L52" s="26" t="s">
        <v>15</v>
      </c>
      <c r="M52" s="27">
        <f>SUMIFS($J$11:$J$33,$A$11:$A$33,"=AUTRE",$B$11:$B$33,"=REUNION")</f>
        <v>0</v>
      </c>
    </row>
    <row r="53" spans="12:13" x14ac:dyDescent="0.3">
      <c r="L53" s="26" t="s">
        <v>131</v>
      </c>
      <c r="M53" s="27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DD3849-049F-49CE-BCF1-EAB7E6BC35D8}">
          <x14:formula1>
            <xm:f>SOURCE!$E$3:$E$18</xm:f>
          </x14:formula1>
          <xm:sqref>C11:C33</xm:sqref>
        </x14:dataValidation>
        <x14:dataValidation type="list" allowBlank="1" showInputMessage="1" showErrorMessage="1" xr:uid="{368307C9-C40C-43DF-939E-06A981BE69AB}">
          <x14:formula1>
            <xm:f>SOURCE!$C$20:$C$21</xm:f>
          </x14:formula1>
          <xm:sqref>D11:D33</xm:sqref>
        </x14:dataValidation>
        <x14:dataValidation type="list" allowBlank="1" showInputMessage="1" showErrorMessage="1" xr:uid="{06C1244C-96B3-46D9-B534-DDCC5C653271}">
          <x14:formula1>
            <xm:f>SOURCE!$C$3:$C$13</xm:f>
          </x14:formula1>
          <xm:sqref>B11:B33</xm:sqref>
        </x14:dataValidation>
        <x14:dataValidation type="list" allowBlank="1" showInputMessage="1" showErrorMessage="1" xr:uid="{B25C178B-C52A-486A-9843-509BEFDED455}">
          <x14:formula1>
            <xm:f>SOURCE!$A$3:$A$13</xm:f>
          </x14:formula1>
          <xm:sqref>A11:A33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euil8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5E41DD-D35F-49DD-8DA6-5918B557663A}">
          <x14:formula1>
            <xm:f>SOURCE!$E$3:$E$18</xm:f>
          </x14:formula1>
          <xm:sqref>C11:C33</xm:sqref>
        </x14:dataValidation>
        <x14:dataValidation type="list" allowBlank="1" showInputMessage="1" showErrorMessage="1" xr:uid="{75637153-0895-4CDA-B7A8-9BAA17102EF8}">
          <x14:formula1>
            <xm:f>SOURCE!$C$20:$C$21</xm:f>
          </x14:formula1>
          <xm:sqref>D11:D33</xm:sqref>
        </x14:dataValidation>
        <x14:dataValidation type="list" allowBlank="1" showInputMessage="1" showErrorMessage="1" xr:uid="{5A86E9D9-37F9-4D1F-A36C-AC505D24F407}">
          <x14:formula1>
            <xm:f>SOURCE!$C$3:$C$13</xm:f>
          </x14:formula1>
          <xm:sqref>B11:B33</xm:sqref>
        </x14:dataValidation>
        <x14:dataValidation type="list" allowBlank="1" showInputMessage="1" showErrorMessage="1" xr:uid="{2667C05D-3921-4049-A4DD-631A318763C5}">
          <x14:formula1>
            <xm:f>SOURCE!$A$3:$A$13</xm:f>
          </x14:formula1>
          <xm:sqref>A11:A33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euil9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453EFD3-4473-43F8-9F94-71D8B9B2A999}">
          <x14:formula1>
            <xm:f>SOURCE!$E$3:$E$18</xm:f>
          </x14:formula1>
          <xm:sqref>C11:C33</xm:sqref>
        </x14:dataValidation>
        <x14:dataValidation type="list" allowBlank="1" showInputMessage="1" showErrorMessage="1" xr:uid="{607A7B33-0615-4744-B8F9-F2ED15E5AD6E}">
          <x14:formula1>
            <xm:f>SOURCE!$C$20:$C$21</xm:f>
          </x14:formula1>
          <xm:sqref>D11:D33</xm:sqref>
        </x14:dataValidation>
        <x14:dataValidation type="list" allowBlank="1" showInputMessage="1" showErrorMessage="1" xr:uid="{A73C85C6-A0F7-4C5D-8B78-B15D4360D4CE}">
          <x14:formula1>
            <xm:f>SOURCE!$C$3:$C$13</xm:f>
          </x14:formula1>
          <xm:sqref>B11:B33</xm:sqref>
        </x14:dataValidation>
        <x14:dataValidation type="list" allowBlank="1" showInputMessage="1" showErrorMessage="1" xr:uid="{1DB482B1-8470-4FE0-A397-EE2B753518E2}">
          <x14:formula1>
            <xm:f>SOURCE!$A$3:$A$13</xm:f>
          </x14:formula1>
          <xm:sqref>A11:A33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euil10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C4F0F4-DA9A-4E6D-9853-798D84446BC3}">
          <x14:formula1>
            <xm:f>SOURCE!$E$3:$E$18</xm:f>
          </x14:formula1>
          <xm:sqref>C11:C33</xm:sqref>
        </x14:dataValidation>
        <x14:dataValidation type="list" allowBlank="1" showInputMessage="1" showErrorMessage="1" xr:uid="{72645C7C-36C4-45BD-8717-9BDA9480B37D}">
          <x14:formula1>
            <xm:f>SOURCE!$C$20:$C$21</xm:f>
          </x14:formula1>
          <xm:sqref>D11:D33</xm:sqref>
        </x14:dataValidation>
        <x14:dataValidation type="list" allowBlank="1" showInputMessage="1" showErrorMessage="1" xr:uid="{CC1F7120-8DEA-41C4-AE71-4E6C34186008}">
          <x14:formula1>
            <xm:f>SOURCE!$C$3:$C$13</xm:f>
          </x14:formula1>
          <xm:sqref>B11:B33</xm:sqref>
        </x14:dataValidation>
        <x14:dataValidation type="list" allowBlank="1" showInputMessage="1" showErrorMessage="1" xr:uid="{6CB3B2E2-8ACB-4E7A-BC96-BE061EDAA94B}">
          <x14:formula1>
            <xm:f>SOURCE!$A$3:$A$13</xm:f>
          </x14:formula1>
          <xm:sqref>A11:A33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euil11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39EF9AA-12FB-4DBD-A986-E4E9D52C7DE9}">
          <x14:formula1>
            <xm:f>SOURCE!$E$3:$E$18</xm:f>
          </x14:formula1>
          <xm:sqref>C11:C33</xm:sqref>
        </x14:dataValidation>
        <x14:dataValidation type="list" allowBlank="1" showInputMessage="1" showErrorMessage="1" xr:uid="{2A8B1428-0CE1-4310-B165-0C71C4931EB8}">
          <x14:formula1>
            <xm:f>SOURCE!$C$20:$C$21</xm:f>
          </x14:formula1>
          <xm:sqref>D11:D33</xm:sqref>
        </x14:dataValidation>
        <x14:dataValidation type="list" allowBlank="1" showInputMessage="1" showErrorMessage="1" xr:uid="{CBD79BE7-7EC7-4E0C-9D54-926B17BEF449}">
          <x14:formula1>
            <xm:f>SOURCE!$C$3:$C$13</xm:f>
          </x14:formula1>
          <xm:sqref>B11:B33</xm:sqref>
        </x14:dataValidation>
        <x14:dataValidation type="list" allowBlank="1" showInputMessage="1" showErrorMessage="1" xr:uid="{54CB3249-500E-4145-B197-C9A1DE324CB1}">
          <x14:formula1>
            <xm:f>SOURCE!$A$3:$A$13</xm:f>
          </x14:formula1>
          <xm:sqref>A11:A33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euil12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4D8BE0E-4C4F-4B47-A916-595728EEF1FF}">
          <x14:formula1>
            <xm:f>SOURCE!$E$3:$E$18</xm:f>
          </x14:formula1>
          <xm:sqref>C11:C33</xm:sqref>
        </x14:dataValidation>
        <x14:dataValidation type="list" allowBlank="1" showInputMessage="1" showErrorMessage="1" xr:uid="{530959E2-7C72-4E51-A6DF-E24ED0A9E7DC}">
          <x14:formula1>
            <xm:f>SOURCE!$C$20:$C$21</xm:f>
          </x14:formula1>
          <xm:sqref>D11:D33</xm:sqref>
        </x14:dataValidation>
        <x14:dataValidation type="list" allowBlank="1" showInputMessage="1" showErrorMessage="1" xr:uid="{14384228-41FC-418A-877D-71240C4FFB34}">
          <x14:formula1>
            <xm:f>SOURCE!$C$3:$C$13</xm:f>
          </x14:formula1>
          <xm:sqref>B11:B33</xm:sqref>
        </x14:dataValidation>
        <x14:dataValidation type="list" allowBlank="1" showInputMessage="1" showErrorMessage="1" xr:uid="{D7E54945-3439-4516-B1AF-C98447CC4C10}">
          <x14:formula1>
            <xm:f>SOURCE!$A$3:$A$13</xm:f>
          </x14:formula1>
          <xm:sqref>A11:A33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euil13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C286D2-E30E-4161-8128-6AB19F0F2FFD}">
          <x14:formula1>
            <xm:f>SOURCE!$E$3:$E$18</xm:f>
          </x14:formula1>
          <xm:sqref>C11:C33</xm:sqref>
        </x14:dataValidation>
        <x14:dataValidation type="list" allowBlank="1" showInputMessage="1" showErrorMessage="1" xr:uid="{168D5D2D-8C9E-4C1A-960C-CFA8A583E2A1}">
          <x14:formula1>
            <xm:f>SOURCE!$C$20:$C$21</xm:f>
          </x14:formula1>
          <xm:sqref>D11:D33</xm:sqref>
        </x14:dataValidation>
        <x14:dataValidation type="list" allowBlank="1" showInputMessage="1" showErrorMessage="1" xr:uid="{57C9DF8C-3974-422F-80D7-A57E1610E419}">
          <x14:formula1>
            <xm:f>SOURCE!$C$3:$C$13</xm:f>
          </x14:formula1>
          <xm:sqref>B11:B33</xm:sqref>
        </x14:dataValidation>
        <x14:dataValidation type="list" allowBlank="1" showInputMessage="1" showErrorMessage="1" xr:uid="{9BF89F7B-2AC4-4099-83A2-331BEFAE2944}">
          <x14:formula1>
            <xm:f>SOURCE!$A$3:$A$13</xm:f>
          </x14:formula1>
          <xm:sqref>A11:A33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euil14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0EC98F2-6B8A-4F64-8412-6F2C4708A438}">
          <x14:formula1>
            <xm:f>SOURCE!$E$3:$E$18</xm:f>
          </x14:formula1>
          <xm:sqref>C11:C33</xm:sqref>
        </x14:dataValidation>
        <x14:dataValidation type="list" allowBlank="1" showInputMessage="1" showErrorMessage="1" xr:uid="{4F8B7F57-AAEE-40A4-B878-788FF7257656}">
          <x14:formula1>
            <xm:f>SOURCE!$C$20:$C$21</xm:f>
          </x14:formula1>
          <xm:sqref>D11:D33</xm:sqref>
        </x14:dataValidation>
        <x14:dataValidation type="list" allowBlank="1" showInputMessage="1" showErrorMessage="1" xr:uid="{327FD0A9-6D9C-4A93-AF40-F1705D36127D}">
          <x14:formula1>
            <xm:f>SOURCE!$C$3:$C$13</xm:f>
          </x14:formula1>
          <xm:sqref>B11:B33</xm:sqref>
        </x14:dataValidation>
        <x14:dataValidation type="list" allowBlank="1" showInputMessage="1" showErrorMessage="1" xr:uid="{984AD98F-7B15-482F-8C50-676DC4C4ACEF}">
          <x14:formula1>
            <xm:f>SOURCE!$A$3:$A$13</xm:f>
          </x14:formula1>
          <xm:sqref>A11:A33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euil15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28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A31EE-A592-40E3-8FCD-B86DC657040C}">
          <x14:formula1>
            <xm:f>SOURCE!$E$3:$E$18</xm:f>
          </x14:formula1>
          <xm:sqref>C11:C33</xm:sqref>
        </x14:dataValidation>
        <x14:dataValidation type="list" allowBlank="1" showInputMessage="1" showErrorMessage="1" xr:uid="{E7AAB687-A9B3-4008-97C9-1EA24DB5B847}">
          <x14:formula1>
            <xm:f>SOURCE!$C$20:$C$21</xm:f>
          </x14:formula1>
          <xm:sqref>D11:D33</xm:sqref>
        </x14:dataValidation>
        <x14:dataValidation type="list" allowBlank="1" showInputMessage="1" showErrorMessage="1" xr:uid="{2C0D2E56-A2F4-4B92-9C96-5A3076AB935C}">
          <x14:formula1>
            <xm:f>SOURCE!$C$3:$C$13</xm:f>
          </x14:formula1>
          <xm:sqref>B11:B33</xm:sqref>
        </x14:dataValidation>
        <x14:dataValidation type="list" allowBlank="1" showInputMessage="1" showErrorMessage="1" xr:uid="{91BB336C-73D7-4F01-8771-E9B13E858DE2}">
          <x14:formula1>
            <xm:f>SOURCE!$A$3:$A$13</xm:f>
          </x14:formula1>
          <xm:sqref>A11:A33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FC112-9025-4CAB-93DB-51B7CF308F96}">
  <sheetPr codeName="Feuil16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2A3DA2-C819-4838-BB12-859A058193B7}">
          <x14:formula1>
            <xm:f>SOURCE!$E$3:$E$18</xm:f>
          </x14:formula1>
          <xm:sqref>C11:C33</xm:sqref>
        </x14:dataValidation>
        <x14:dataValidation type="list" allowBlank="1" showInputMessage="1" showErrorMessage="1" xr:uid="{F2739F7F-F2F6-4511-8D14-1BA8ECA0100B}">
          <x14:formula1>
            <xm:f>SOURCE!$C$20:$C$21</xm:f>
          </x14:formula1>
          <xm:sqref>D11:D33</xm:sqref>
        </x14:dataValidation>
        <x14:dataValidation type="list" allowBlank="1" showInputMessage="1" showErrorMessage="1" xr:uid="{C3B871F2-B23E-413E-B273-DCB9923A80F5}">
          <x14:formula1>
            <xm:f>SOURCE!$C$3:$C$13</xm:f>
          </x14:formula1>
          <xm:sqref>B11:B33</xm:sqref>
        </x14:dataValidation>
        <x14:dataValidation type="list" allowBlank="1" showInputMessage="1" showErrorMessage="1" xr:uid="{36893AEE-0B35-4BE4-A467-5E073AE2FE6A}">
          <x14:formula1>
            <xm:f>SOURCE!$A$3:$A$13</xm:f>
          </x14:formula1>
          <xm:sqref>A11:A33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7822-4C95-424B-BB33-B3493B938888}">
  <sheetPr codeName="Feuil17"/>
  <dimension ref="A1:M56"/>
  <sheetViews>
    <sheetView topLeftCell="A6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8F99E4-B5B4-41E0-9D30-80918C2C2C1F}">
          <x14:formula1>
            <xm:f>SOURCE!$E$3:$E$18</xm:f>
          </x14:formula1>
          <xm:sqref>C11:C33</xm:sqref>
        </x14:dataValidation>
        <x14:dataValidation type="list" allowBlank="1" showInputMessage="1" showErrorMessage="1" xr:uid="{CFDE9C44-947F-4D25-BF4F-6B4A86BD7B4F}">
          <x14:formula1>
            <xm:f>SOURCE!$C$20:$C$21</xm:f>
          </x14:formula1>
          <xm:sqref>D11:D33</xm:sqref>
        </x14:dataValidation>
        <x14:dataValidation type="list" allowBlank="1" showInputMessage="1" showErrorMessage="1" xr:uid="{7479CD01-B1C1-40A8-AEDE-F03343262AE7}">
          <x14:formula1>
            <xm:f>SOURCE!$C$3:$C$13</xm:f>
          </x14:formula1>
          <xm:sqref>B11:B33</xm:sqref>
        </x14:dataValidation>
        <x14:dataValidation type="list" allowBlank="1" showInputMessage="1" showErrorMessage="1" xr:uid="{BDFBD8DE-9EAA-4847-BB0E-5755CDFE88E6}">
          <x14:formula1>
            <xm:f>SOURCE!$A$3:$A$13</xm:f>
          </x14:formula1>
          <xm:sqref>A11:A33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5AE76-910E-43BE-A50A-004771CF5C86}">
  <sheetPr codeName="Feuil18"/>
  <dimension ref="A1:M56"/>
  <sheetViews>
    <sheetView topLeftCell="B1"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F8E9976-EE60-4E1F-BA43-A49DAF2F16B3}">
          <x14:formula1>
            <xm:f>SOURCE!$E$3:$E$18</xm:f>
          </x14:formula1>
          <xm:sqref>C11:C33</xm:sqref>
        </x14:dataValidation>
        <x14:dataValidation type="list" allowBlank="1" showInputMessage="1" showErrorMessage="1" xr:uid="{D86DC12C-9859-49FF-A8EB-B4C9737BE190}">
          <x14:formula1>
            <xm:f>SOURCE!$C$20:$C$21</xm:f>
          </x14:formula1>
          <xm:sqref>D11:D33</xm:sqref>
        </x14:dataValidation>
        <x14:dataValidation type="list" allowBlank="1" showInputMessage="1" showErrorMessage="1" xr:uid="{C5A3BF24-5D5A-4DBD-9CB6-F3BE375971F3}">
          <x14:formula1>
            <xm:f>SOURCE!$C$3:$C$13</xm:f>
          </x14:formula1>
          <xm:sqref>B11:B33</xm:sqref>
        </x14:dataValidation>
        <x14:dataValidation type="list" allowBlank="1" showInputMessage="1" showErrorMessage="1" xr:uid="{774AB7F7-6B9C-4A25-A2DF-667EAB1D1C45}">
          <x14:formula1>
            <xm:f>SOURCE!$A$3:$A$13</xm:f>
          </x14:formula1>
          <xm:sqref>A11:A33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B1A75-BA0B-4FCF-9BC0-437C702DF70A}">
  <sheetPr codeName="Feuil19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D5929E-5084-4D81-85F7-BB536C6804CD}">
          <x14:formula1>
            <xm:f>SOURCE!$E$3:$E$18</xm:f>
          </x14:formula1>
          <xm:sqref>C11:C33</xm:sqref>
        </x14:dataValidation>
        <x14:dataValidation type="list" allowBlank="1" showInputMessage="1" showErrorMessage="1" xr:uid="{F59B694F-815D-434F-8319-F5F9DED9E223}">
          <x14:formula1>
            <xm:f>SOURCE!$C$20:$C$21</xm:f>
          </x14:formula1>
          <xm:sqref>D11:D33</xm:sqref>
        </x14:dataValidation>
        <x14:dataValidation type="list" allowBlank="1" showInputMessage="1" showErrorMessage="1" xr:uid="{4848FA66-C64C-4307-8F70-24BFD3CBA4A6}">
          <x14:formula1>
            <xm:f>SOURCE!$C$3:$C$13</xm:f>
          </x14:formula1>
          <xm:sqref>B11:B33</xm:sqref>
        </x14:dataValidation>
        <x14:dataValidation type="list" allowBlank="1" showInputMessage="1" showErrorMessage="1" xr:uid="{31FAFD42-C64F-4235-AC2E-79D314C56046}">
          <x14:formula1>
            <xm:f>SOURCE!$A$3:$A$13</xm:f>
          </x14:formula1>
          <xm:sqref>A11:A33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BC21E-B658-4F60-939B-95DCB05D9906}">
  <sheetPr codeName="Feuil20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CD3F53B-741D-419B-9AFF-A451228B686F}">
          <x14:formula1>
            <xm:f>SOURCE!$E$3:$E$18</xm:f>
          </x14:formula1>
          <xm:sqref>C11:C33</xm:sqref>
        </x14:dataValidation>
        <x14:dataValidation type="list" allowBlank="1" showInputMessage="1" showErrorMessage="1" xr:uid="{5D805DE6-7A9C-4535-AD44-962BC0CB38FF}">
          <x14:formula1>
            <xm:f>SOURCE!$C$20:$C$21</xm:f>
          </x14:formula1>
          <xm:sqref>D11:D33</xm:sqref>
        </x14:dataValidation>
        <x14:dataValidation type="list" allowBlank="1" showInputMessage="1" showErrorMessage="1" xr:uid="{0EE06A43-1C5C-4BA1-B5E9-0B0CAC6B141A}">
          <x14:formula1>
            <xm:f>SOURCE!$C$3:$C$13</xm:f>
          </x14:formula1>
          <xm:sqref>B11:B33</xm:sqref>
        </x14:dataValidation>
        <x14:dataValidation type="list" allowBlank="1" showInputMessage="1" showErrorMessage="1" xr:uid="{7D852EF2-FBA4-4DFF-A77B-E0084E7BF0AA}">
          <x14:formula1>
            <xm:f>SOURCE!$A$3:$A$13</xm:f>
          </x14:formula1>
          <xm:sqref>A11:A33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7E2B-C0E9-4F98-92A7-A4882BECC8D1}">
  <sheetPr codeName="Feuil21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49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0DBCF52-5CB5-4555-A0D8-DBD510143DDD}">
          <x14:formula1>
            <xm:f>SOURCE!$E$3:$E$18</xm:f>
          </x14:formula1>
          <xm:sqref>C11:C33</xm:sqref>
        </x14:dataValidation>
        <x14:dataValidation type="list" allowBlank="1" showInputMessage="1" showErrorMessage="1" xr:uid="{2B201676-2D31-4A11-BB34-7B0A86CBEB41}">
          <x14:formula1>
            <xm:f>SOURCE!$C$20:$C$21</xm:f>
          </x14:formula1>
          <xm:sqref>D11:D33</xm:sqref>
        </x14:dataValidation>
        <x14:dataValidation type="list" allowBlank="1" showInputMessage="1" showErrorMessage="1" xr:uid="{774BFBB9-DB63-4A78-8F8F-63182D8B2664}">
          <x14:formula1>
            <xm:f>SOURCE!$C$3:$C$13</xm:f>
          </x14:formula1>
          <xm:sqref>B11:B33</xm:sqref>
        </x14:dataValidation>
        <x14:dataValidation type="list" allowBlank="1" showInputMessage="1" showErrorMessage="1" xr:uid="{66B72944-6A41-483D-8AEA-CE88F4DD08C0}">
          <x14:formula1>
            <xm:f>SOURCE!$A$3:$A$13</xm:f>
          </x14:formula1>
          <xm:sqref>A11:A33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1A72-C8E8-4D06-A38F-897742F45AFA}">
  <sheetPr codeName="Feuil22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C7A0EC-BA62-4F65-804F-D2A7FE026408}">
          <x14:formula1>
            <xm:f>SOURCE!$E$3:$E$18</xm:f>
          </x14:formula1>
          <xm:sqref>C11:C33</xm:sqref>
        </x14:dataValidation>
        <x14:dataValidation type="list" allowBlank="1" showInputMessage="1" showErrorMessage="1" xr:uid="{1EF90EB4-1CE0-4D4D-BAF7-0A8574C5B56A}">
          <x14:formula1>
            <xm:f>SOURCE!$C$20:$C$21</xm:f>
          </x14:formula1>
          <xm:sqref>D11:D33</xm:sqref>
        </x14:dataValidation>
        <x14:dataValidation type="list" allowBlank="1" showInputMessage="1" showErrorMessage="1" xr:uid="{07AF8B1A-7D45-4772-975C-C89D855F499B}">
          <x14:formula1>
            <xm:f>SOURCE!$C$3:$C$13</xm:f>
          </x14:formula1>
          <xm:sqref>B11:B33</xm:sqref>
        </x14:dataValidation>
        <x14:dataValidation type="list" allowBlank="1" showInputMessage="1" showErrorMessage="1" xr:uid="{A07FB70B-A2F2-4883-A14C-88B1798FB865}">
          <x14:formula1>
            <xm:f>SOURCE!$A$3:$A$13</xm:f>
          </x14:formula1>
          <xm:sqref>A11:A33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7B22-F1A6-4C18-B2A5-B0B508DEE799}">
  <sheetPr codeName="Feuil23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9339BF-0493-43A1-9E5D-207BD01F15F8}">
          <x14:formula1>
            <xm:f>SOURCE!$E$3:$E$18</xm:f>
          </x14:formula1>
          <xm:sqref>C11:C33</xm:sqref>
        </x14:dataValidation>
        <x14:dataValidation type="list" allowBlank="1" showInputMessage="1" showErrorMessage="1" xr:uid="{067E079A-D86B-4B9D-AB7A-B343DBF9DA84}">
          <x14:formula1>
            <xm:f>SOURCE!$C$20:$C$21</xm:f>
          </x14:formula1>
          <xm:sqref>D11:D33</xm:sqref>
        </x14:dataValidation>
        <x14:dataValidation type="list" allowBlank="1" showInputMessage="1" showErrorMessage="1" xr:uid="{E8004128-C698-467D-9295-5F3BDE73C0DC}">
          <x14:formula1>
            <xm:f>SOURCE!$C$3:$C$13</xm:f>
          </x14:formula1>
          <xm:sqref>B11:B33</xm:sqref>
        </x14:dataValidation>
        <x14:dataValidation type="list" allowBlank="1" showInputMessage="1" showErrorMessage="1" xr:uid="{7F712100-2CAE-4E1B-B094-D8C08C7044B4}">
          <x14:formula1>
            <xm:f>SOURCE!$A$3:$A$13</xm:f>
          </x14:formula1>
          <xm:sqref>A11:A33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723D-9612-4CD0-BB86-F1965B978EB9}">
  <sheetPr codeName="Feuil24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95D109-F0FA-4970-9D3B-0EF54D368C76}">
          <x14:formula1>
            <xm:f>SOURCE!$E$3:$E$18</xm:f>
          </x14:formula1>
          <xm:sqref>C11:C33</xm:sqref>
        </x14:dataValidation>
        <x14:dataValidation type="list" allowBlank="1" showInputMessage="1" showErrorMessage="1" xr:uid="{7D415A2D-0551-4548-905C-02A0DC7F2D4A}">
          <x14:formula1>
            <xm:f>SOURCE!$C$20:$C$21</xm:f>
          </x14:formula1>
          <xm:sqref>D11:D33</xm:sqref>
        </x14:dataValidation>
        <x14:dataValidation type="list" allowBlank="1" showInputMessage="1" showErrorMessage="1" xr:uid="{9BC8AADF-BA99-44B8-BACB-83C950BF86AF}">
          <x14:formula1>
            <xm:f>SOURCE!$C$3:$C$13</xm:f>
          </x14:formula1>
          <xm:sqref>B11:B33</xm:sqref>
        </x14:dataValidation>
        <x14:dataValidation type="list" allowBlank="1" showInputMessage="1" showErrorMessage="1" xr:uid="{2F991C81-9552-49F6-B200-252B934BF04E}">
          <x14:formula1>
            <xm:f>SOURCE!$A$3:$A$13</xm:f>
          </x14:formula1>
          <xm:sqref>A11:A33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1072-D256-4B6F-B61A-AB5B92C83A14}">
  <sheetPr codeName="Feuil25"/>
  <dimension ref="A1:M56"/>
  <sheetViews>
    <sheetView workbookViewId="0">
      <selection activeCell="B15" sqref="B1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8BC09E-73DD-4A97-AA71-898A53DB9054}">
          <x14:formula1>
            <xm:f>SOURCE!$E$3:$E$18</xm:f>
          </x14:formula1>
          <xm:sqref>C11:C33</xm:sqref>
        </x14:dataValidation>
        <x14:dataValidation type="list" allowBlank="1" showInputMessage="1" showErrorMessage="1" xr:uid="{3E573272-EB81-4966-87A5-CCA941AFF1A4}">
          <x14:formula1>
            <xm:f>SOURCE!$C$20:$C$21</xm:f>
          </x14:formula1>
          <xm:sqref>D11:D33</xm:sqref>
        </x14:dataValidation>
        <x14:dataValidation type="list" allowBlank="1" showInputMessage="1" showErrorMessage="1" xr:uid="{2E52BE88-A580-4924-A552-C2D9E17D2B98}">
          <x14:formula1>
            <xm:f>SOURCE!$C$3:$C$13</xm:f>
          </x14:formula1>
          <xm:sqref>B11:B33</xm:sqref>
        </x14:dataValidation>
        <x14:dataValidation type="list" allowBlank="1" showInputMessage="1" showErrorMessage="1" xr:uid="{4EFDAD75-5FBC-42C5-82CF-688972DC3631}">
          <x14:formula1>
            <xm:f>SOURCE!$A$3:$A$13</xm:f>
          </x14:formula1>
          <xm:sqref>A11:A33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F8E54-3ABB-4154-8CC3-8BF4AB1A61AF}">
  <sheetPr codeName="Feuil2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3CD1C7-FAFF-4791-A495-459FDA141A38}">
          <x14:formula1>
            <xm:f>SOURCE!$E$3:$E$18</xm:f>
          </x14:formula1>
          <xm:sqref>C11:C33</xm:sqref>
        </x14:dataValidation>
        <x14:dataValidation type="list" allowBlank="1" showInputMessage="1" showErrorMessage="1" xr:uid="{A50B6B61-6780-4790-8B19-DC35547B85A4}">
          <x14:formula1>
            <xm:f>SOURCE!$C$20:$C$21</xm:f>
          </x14:formula1>
          <xm:sqref>D11:D33</xm:sqref>
        </x14:dataValidation>
        <x14:dataValidation type="list" allowBlank="1" showInputMessage="1" showErrorMessage="1" xr:uid="{ECEB78B4-4874-438E-9943-6DEE3B162F2D}">
          <x14:formula1>
            <xm:f>SOURCE!$C$3:$C$13</xm:f>
          </x14:formula1>
          <xm:sqref>B11:B33</xm:sqref>
        </x14:dataValidation>
        <x14:dataValidation type="list" allowBlank="1" showInputMessage="1" showErrorMessage="1" xr:uid="{4B08AFB4-E867-4834-BF15-EC7489BCE000}">
          <x14:formula1>
            <xm:f>SOURCE!$A$3:$A$13</xm:f>
          </x14:formula1>
          <xm:sqref>A11:A33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357F3-ADDB-4AFD-8988-A6F0A091E8FD}">
  <sheetPr codeName="Feuil2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F060EA-E671-407A-A773-A878385D2DA2}">
          <x14:formula1>
            <xm:f>SOURCE!$E$3:$E$18</xm:f>
          </x14:formula1>
          <xm:sqref>C11:C33</xm:sqref>
        </x14:dataValidation>
        <x14:dataValidation type="list" allowBlank="1" showInputMessage="1" showErrorMessage="1" xr:uid="{2C65CDD8-AE6A-4AF2-B3D2-66E9BA4A227D}">
          <x14:formula1>
            <xm:f>SOURCE!$C$20:$C$21</xm:f>
          </x14:formula1>
          <xm:sqref>D11:D33</xm:sqref>
        </x14:dataValidation>
        <x14:dataValidation type="list" allowBlank="1" showInputMessage="1" showErrorMessage="1" xr:uid="{2FB880DC-0DB4-47C8-AF07-3AD585407AA5}">
          <x14:formula1>
            <xm:f>SOURCE!$C$3:$C$13</xm:f>
          </x14:formula1>
          <xm:sqref>B11:B33</xm:sqref>
        </x14:dataValidation>
        <x14:dataValidation type="list" allowBlank="1" showInputMessage="1" showErrorMessage="1" xr:uid="{B1F1890F-37B0-4EFE-AEC8-F1D2578F7291}">
          <x14:formula1>
            <xm:f>SOURCE!$A$3:$A$13</xm:f>
          </x14:formula1>
          <xm:sqref>A11:A33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6AB2-D6C8-46A5-8CF6-9D91F0F3B3EA}">
  <sheetPr codeName="Feuil2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D8922E-E438-41E4-9508-5EAA8A7A8871}">
          <x14:formula1>
            <xm:f>SOURCE!$E$3:$E$18</xm:f>
          </x14:formula1>
          <xm:sqref>C11:C33</xm:sqref>
        </x14:dataValidation>
        <x14:dataValidation type="list" allowBlank="1" showInputMessage="1" showErrorMessage="1" xr:uid="{4CDD1BB1-C2CB-4951-8BA9-50AAAA139921}">
          <x14:formula1>
            <xm:f>SOURCE!$C$20:$C$21</xm:f>
          </x14:formula1>
          <xm:sqref>D11:D33</xm:sqref>
        </x14:dataValidation>
        <x14:dataValidation type="list" allowBlank="1" showInputMessage="1" showErrorMessage="1" xr:uid="{53A6C178-DCCE-4ABC-B3A1-C346542D4038}">
          <x14:formula1>
            <xm:f>SOURCE!$C$3:$C$13</xm:f>
          </x14:formula1>
          <xm:sqref>B11:B33</xm:sqref>
        </x14:dataValidation>
        <x14:dataValidation type="list" allowBlank="1" showInputMessage="1" showErrorMessage="1" xr:uid="{77BE4EEE-E65D-4583-A497-D659A0EC75D4}">
          <x14:formula1>
            <xm:f>SOURCE!$A$3:$A$13</xm:f>
          </x14:formula1>
          <xm:sqref>A11:A33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40E6-488D-432A-9CE7-BF70668EA46C}">
  <sheetPr codeName="Feuil2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A110B6-EAD4-4E6D-B415-C2B2BD579468}">
          <x14:formula1>
            <xm:f>SOURCE!$E$3:$E$18</xm:f>
          </x14:formula1>
          <xm:sqref>C11:C33</xm:sqref>
        </x14:dataValidation>
        <x14:dataValidation type="list" allowBlank="1" showInputMessage="1" showErrorMessage="1" xr:uid="{CEB7E90A-97A5-4483-AA05-649C3858A49E}">
          <x14:formula1>
            <xm:f>SOURCE!$C$20:$C$21</xm:f>
          </x14:formula1>
          <xm:sqref>D11:D33</xm:sqref>
        </x14:dataValidation>
        <x14:dataValidation type="list" allowBlank="1" showInputMessage="1" showErrorMessage="1" xr:uid="{FBB83F9C-94C0-4503-9757-D0798F6182DD}">
          <x14:formula1>
            <xm:f>SOURCE!$C$3:$C$13</xm:f>
          </x14:formula1>
          <xm:sqref>B11:B33</xm:sqref>
        </x14:dataValidation>
        <x14:dataValidation type="list" allowBlank="1" showInputMessage="1" showErrorMessage="1" xr:uid="{E613CC73-4169-4DEC-B682-D3253CC31438}">
          <x14:formula1>
            <xm:f>SOURCE!$A$3:$A$13</xm:f>
          </x14:formula1>
          <xm:sqref>A11:A33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1DBE-7DBB-43B4-98EB-4FA7838AE992}">
  <sheetPr codeName="Feuil3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59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1E583-38A3-43FD-9C34-EBBB84673364}">
          <x14:formula1>
            <xm:f>SOURCE!$E$3:$E$18</xm:f>
          </x14:formula1>
          <xm:sqref>C11:C33</xm:sqref>
        </x14:dataValidation>
        <x14:dataValidation type="list" allowBlank="1" showInputMessage="1" showErrorMessage="1" xr:uid="{C6BA2B90-AD14-4C06-8A90-0E58AAA8E8EB}">
          <x14:formula1>
            <xm:f>SOURCE!$C$20:$C$21</xm:f>
          </x14:formula1>
          <xm:sqref>D11:D33</xm:sqref>
        </x14:dataValidation>
        <x14:dataValidation type="list" allowBlank="1" showInputMessage="1" showErrorMessage="1" xr:uid="{11A13760-A035-4E72-B6B7-6C12EF85B689}">
          <x14:formula1>
            <xm:f>SOURCE!$C$3:$C$13</xm:f>
          </x14:formula1>
          <xm:sqref>B11:B33</xm:sqref>
        </x14:dataValidation>
        <x14:dataValidation type="list" allowBlank="1" showInputMessage="1" showErrorMessage="1" xr:uid="{549BBB19-D4D0-46B2-8852-B215B4320FEF}">
          <x14:formula1>
            <xm:f>SOURCE!$A$3:$A$13</xm:f>
          </x14:formula1>
          <xm:sqref>A11:A33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FB3A-9B45-44BF-B360-7A417CD4ACD5}">
  <sheetPr codeName="Feuil3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311CDCB-FB9D-4363-839D-4C0E079B386F}">
          <x14:formula1>
            <xm:f>SOURCE!$E$3:$E$18</xm:f>
          </x14:formula1>
          <xm:sqref>C11:C33</xm:sqref>
        </x14:dataValidation>
        <x14:dataValidation type="list" allowBlank="1" showInputMessage="1" showErrorMessage="1" xr:uid="{B4CA8A01-BD9D-416E-BA6B-57CB1FC53993}">
          <x14:formula1>
            <xm:f>SOURCE!$C$20:$C$21</xm:f>
          </x14:formula1>
          <xm:sqref>D11:D33</xm:sqref>
        </x14:dataValidation>
        <x14:dataValidation type="list" allowBlank="1" showInputMessage="1" showErrorMessage="1" xr:uid="{6DAFCA4E-5B39-4309-B211-B4EBED9A8150}">
          <x14:formula1>
            <xm:f>SOURCE!$C$3:$C$13</xm:f>
          </x14:formula1>
          <xm:sqref>B11:B33</xm:sqref>
        </x14:dataValidation>
        <x14:dataValidation type="list" allowBlank="1" showInputMessage="1" showErrorMessage="1" xr:uid="{8F07E322-9955-4EB2-BB80-3366D0FB5E59}">
          <x14:formula1>
            <xm:f>SOURCE!$A$3:$A$13</xm:f>
          </x14:formula1>
          <xm:sqref>A11:A33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4D647-3220-45BC-B07E-053EBC29E1F1}">
  <sheetPr codeName="Feuil3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945701-6D4D-4627-A96A-B43C9572A25F}">
          <x14:formula1>
            <xm:f>SOURCE!$E$3:$E$18</xm:f>
          </x14:formula1>
          <xm:sqref>C11:C33</xm:sqref>
        </x14:dataValidation>
        <x14:dataValidation type="list" allowBlank="1" showInputMessage="1" showErrorMessage="1" xr:uid="{AA1DDF0E-A295-4FCB-9190-831F5ACC8886}">
          <x14:formula1>
            <xm:f>SOURCE!$C$20:$C$21</xm:f>
          </x14:formula1>
          <xm:sqref>D11:D33</xm:sqref>
        </x14:dataValidation>
        <x14:dataValidation type="list" allowBlank="1" showInputMessage="1" showErrorMessage="1" xr:uid="{C1F7DFDB-1AB8-4261-987A-F1844B1D8734}">
          <x14:formula1>
            <xm:f>SOURCE!$C$3:$C$13</xm:f>
          </x14:formula1>
          <xm:sqref>B11:B33</xm:sqref>
        </x14:dataValidation>
        <x14:dataValidation type="list" allowBlank="1" showInputMessage="1" showErrorMessage="1" xr:uid="{2DC8BDCB-80CB-4F91-9A81-01A251C9CDC3}">
          <x14:formula1>
            <xm:f>SOURCE!$A$3:$A$13</xm:f>
          </x14:formula1>
          <xm:sqref>A11:A33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8B85-5AF0-4464-922A-E4B5D4951B82}">
  <sheetPr codeName="Feuil3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BF66BE-853F-4D18-9EAD-735412D3E212}">
          <x14:formula1>
            <xm:f>SOURCE!$E$3:$E$18</xm:f>
          </x14:formula1>
          <xm:sqref>C11:C33</xm:sqref>
        </x14:dataValidation>
        <x14:dataValidation type="list" allowBlank="1" showInputMessage="1" showErrorMessage="1" xr:uid="{989F0A29-EED0-4909-900D-38F24B0BB648}">
          <x14:formula1>
            <xm:f>SOURCE!$C$20:$C$21</xm:f>
          </x14:formula1>
          <xm:sqref>D11:D33</xm:sqref>
        </x14:dataValidation>
        <x14:dataValidation type="list" allowBlank="1" showInputMessage="1" showErrorMessage="1" xr:uid="{3CEB4DD7-B358-4A44-9C58-F1CDD453A0A3}">
          <x14:formula1>
            <xm:f>SOURCE!$C$3:$C$13</xm:f>
          </x14:formula1>
          <xm:sqref>B11:B33</xm:sqref>
        </x14:dataValidation>
        <x14:dataValidation type="list" allowBlank="1" showInputMessage="1" showErrorMessage="1" xr:uid="{22039279-4369-4D49-AD6A-E42C282EB14A}">
          <x14:formula1>
            <xm:f>SOURCE!$A$3:$A$13</xm:f>
          </x14:formula1>
          <xm:sqref>A11:A33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B9EC9-236A-4574-8E6B-18B4352D6794}">
  <sheetPr codeName="Feuil3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52F64-2FE8-4168-9411-9676AE437F28}">
          <x14:formula1>
            <xm:f>SOURCE!$E$3:$E$18</xm:f>
          </x14:formula1>
          <xm:sqref>C11:C33</xm:sqref>
        </x14:dataValidation>
        <x14:dataValidation type="list" allowBlank="1" showInputMessage="1" showErrorMessage="1" xr:uid="{1CA16284-DAB9-4E71-AA0F-52B1CB5A7867}">
          <x14:formula1>
            <xm:f>SOURCE!$C$20:$C$21</xm:f>
          </x14:formula1>
          <xm:sqref>D11:D33</xm:sqref>
        </x14:dataValidation>
        <x14:dataValidation type="list" allowBlank="1" showInputMessage="1" showErrorMessage="1" xr:uid="{CE3C8A68-E8B2-41B1-8BCF-394A237F5951}">
          <x14:formula1>
            <xm:f>SOURCE!$C$3:$C$13</xm:f>
          </x14:formula1>
          <xm:sqref>B11:B33</xm:sqref>
        </x14:dataValidation>
        <x14:dataValidation type="list" allowBlank="1" showInputMessage="1" showErrorMessage="1" xr:uid="{0626B49E-9C9C-4853-B7B5-9A56CC7291D8}">
          <x14:formula1>
            <xm:f>SOURCE!$A$3:$A$13</xm:f>
          </x14:formula1>
          <xm:sqref>A11:A33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7AF-F5A1-4DF3-A13D-5F0A109D175F}">
  <sheetPr codeName="Feuil35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00AF09-64AF-431A-A780-A2201EF5F971}">
          <x14:formula1>
            <xm:f>SOURCE!$E$3:$E$18</xm:f>
          </x14:formula1>
          <xm:sqref>C11:C33</xm:sqref>
        </x14:dataValidation>
        <x14:dataValidation type="list" allowBlank="1" showInputMessage="1" showErrorMessage="1" xr:uid="{6217B748-851D-4C9D-8752-4EE1C8F33F6E}">
          <x14:formula1>
            <xm:f>SOURCE!$C$20:$C$21</xm:f>
          </x14:formula1>
          <xm:sqref>D11:D33</xm:sqref>
        </x14:dataValidation>
        <x14:dataValidation type="list" allowBlank="1" showInputMessage="1" showErrorMessage="1" xr:uid="{E24397CF-D07B-4101-9144-10E3A8940F22}">
          <x14:formula1>
            <xm:f>SOURCE!$C$3:$C$13</xm:f>
          </x14:formula1>
          <xm:sqref>B11:B33</xm:sqref>
        </x14:dataValidation>
        <x14:dataValidation type="list" allowBlank="1" showInputMessage="1" showErrorMessage="1" xr:uid="{C754487F-DF1D-4BF1-91A8-E784D227A7F3}">
          <x14:formula1>
            <xm:f>SOURCE!$A$3:$A$13</xm:f>
          </x14:formula1>
          <xm:sqref>A11:A33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9C49-2E81-4158-B79F-D986A3AEA838}">
  <sheetPr codeName="Feuil3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51A7189-E93C-4800-9B43-751955E73CB3}">
          <x14:formula1>
            <xm:f>SOURCE!$E$3:$E$18</xm:f>
          </x14:formula1>
          <xm:sqref>C11:C33</xm:sqref>
        </x14:dataValidation>
        <x14:dataValidation type="list" allowBlank="1" showInputMessage="1" showErrorMessage="1" xr:uid="{345AF76C-3B38-4FC0-AFD9-852067EF43D4}">
          <x14:formula1>
            <xm:f>SOURCE!$C$20:$C$21</xm:f>
          </x14:formula1>
          <xm:sqref>D11:D33</xm:sqref>
        </x14:dataValidation>
        <x14:dataValidation type="list" allowBlank="1" showInputMessage="1" showErrorMessage="1" xr:uid="{76769412-569F-4A16-9BEA-85D67E0B8ADF}">
          <x14:formula1>
            <xm:f>SOURCE!$C$3:$C$13</xm:f>
          </x14:formula1>
          <xm:sqref>B11:B33</xm:sqref>
        </x14:dataValidation>
        <x14:dataValidation type="list" allowBlank="1" showInputMessage="1" showErrorMessage="1" xr:uid="{45B62E9D-1C4B-40D7-801B-B6D543D98314}">
          <x14:formula1>
            <xm:f>SOURCE!$A$3:$A$13</xm:f>
          </x14:formula1>
          <xm:sqref>A11:A33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0C7A-BF8B-4BDA-A300-858BC63A7A18}">
  <sheetPr codeName="Feuil3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79E270-D0C6-4043-9CE6-E407C24045FD}">
          <x14:formula1>
            <xm:f>SOURCE!$E$3:$E$18</xm:f>
          </x14:formula1>
          <xm:sqref>C11:C33</xm:sqref>
        </x14:dataValidation>
        <x14:dataValidation type="list" allowBlank="1" showInputMessage="1" showErrorMessage="1" xr:uid="{EE2FC10D-5D10-47C1-9D83-C33F47191C0F}">
          <x14:formula1>
            <xm:f>SOURCE!$C$20:$C$21</xm:f>
          </x14:formula1>
          <xm:sqref>D11:D33</xm:sqref>
        </x14:dataValidation>
        <x14:dataValidation type="list" allowBlank="1" showInputMessage="1" showErrorMessage="1" xr:uid="{488410F9-38EC-4D46-A5E6-8DDEC3E7344F}">
          <x14:formula1>
            <xm:f>SOURCE!$C$3:$C$13</xm:f>
          </x14:formula1>
          <xm:sqref>B11:B33</xm:sqref>
        </x14:dataValidation>
        <x14:dataValidation type="list" allowBlank="1" showInputMessage="1" showErrorMessage="1" xr:uid="{5B44056C-C501-4D55-B5BA-4F0F5D2915D4}">
          <x14:formula1>
            <xm:f>SOURCE!$A$3:$A$13</xm:f>
          </x14:formula1>
          <xm:sqref>A11:A33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D45D6-07C1-4C17-863A-5D9208C48DB4}">
  <sheetPr codeName="Feuil3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FD95A4-1FB8-4AF2-8EC4-070807441AE3}">
          <x14:formula1>
            <xm:f>SOURCE!$E$3:$E$18</xm:f>
          </x14:formula1>
          <xm:sqref>C11:C33</xm:sqref>
        </x14:dataValidation>
        <x14:dataValidation type="list" allowBlank="1" showInputMessage="1" showErrorMessage="1" xr:uid="{3372E8D4-8B87-4D7B-BA1E-99C3F71197F4}">
          <x14:formula1>
            <xm:f>SOURCE!$C$20:$C$21</xm:f>
          </x14:formula1>
          <xm:sqref>D11:D33</xm:sqref>
        </x14:dataValidation>
        <x14:dataValidation type="list" allowBlank="1" showInputMessage="1" showErrorMessage="1" xr:uid="{BA022196-903D-44AE-A85A-45C71552869D}">
          <x14:formula1>
            <xm:f>SOURCE!$C$3:$C$13</xm:f>
          </x14:formula1>
          <xm:sqref>B11:B33</xm:sqref>
        </x14:dataValidation>
        <x14:dataValidation type="list" allowBlank="1" showInputMessage="1" showErrorMessage="1" xr:uid="{D6EA9554-70AB-4FAE-891B-0AF00151AACF}">
          <x14:formula1>
            <xm:f>SOURCE!$A$3:$A$13</xm:f>
          </x14:formula1>
          <xm:sqref>A11:A33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B70-6B47-4755-AE3A-5C6D8AEB9B86}">
  <sheetPr codeName="Feuil3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B389D-61E2-4BB2-B452-A8D8E9FA1166}">
          <x14:formula1>
            <xm:f>SOURCE!$E$3:$E$18</xm:f>
          </x14:formula1>
          <xm:sqref>C11:C33</xm:sqref>
        </x14:dataValidation>
        <x14:dataValidation type="list" allowBlank="1" showInputMessage="1" showErrorMessage="1" xr:uid="{FE559E07-AF82-4F55-AE4C-70992C4C5EF5}">
          <x14:formula1>
            <xm:f>SOURCE!$C$20:$C$21</xm:f>
          </x14:formula1>
          <xm:sqref>D11:D33</xm:sqref>
        </x14:dataValidation>
        <x14:dataValidation type="list" allowBlank="1" showInputMessage="1" showErrorMessage="1" xr:uid="{E20CE94B-7DE9-4808-A98B-470A519954FC}">
          <x14:formula1>
            <xm:f>SOURCE!$C$3:$C$13</xm:f>
          </x14:formula1>
          <xm:sqref>B11:B33</xm:sqref>
        </x14:dataValidation>
        <x14:dataValidation type="list" allowBlank="1" showInputMessage="1" showErrorMessage="1" xr:uid="{D6B8E0FA-0EFD-4CD3-9ED2-F9EC5062D144}">
          <x14:formula1>
            <xm:f>SOURCE!$A$3:$A$13</xm:f>
          </x14:formula1>
          <xm:sqref>A11:A33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7579-4662-4112-8FE2-7FCFE7952B20}">
  <sheetPr codeName="Feuil4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69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D28A87-58A1-4A7E-91DF-60539FAFF328}">
          <x14:formula1>
            <xm:f>SOURCE!$E$3:$E$18</xm:f>
          </x14:formula1>
          <xm:sqref>C11:C33</xm:sqref>
        </x14:dataValidation>
        <x14:dataValidation type="list" allowBlank="1" showInputMessage="1" showErrorMessage="1" xr:uid="{15017CFA-BFCC-4CA8-A9C0-2387E9A00066}">
          <x14:formula1>
            <xm:f>SOURCE!$C$20:$C$21</xm:f>
          </x14:formula1>
          <xm:sqref>D11:D33</xm:sqref>
        </x14:dataValidation>
        <x14:dataValidation type="list" allowBlank="1" showInputMessage="1" showErrorMessage="1" xr:uid="{B5ECE327-B347-47A3-866D-37C38EB1FAF3}">
          <x14:formula1>
            <xm:f>SOURCE!$C$3:$C$13</xm:f>
          </x14:formula1>
          <xm:sqref>B11:B33</xm:sqref>
        </x14:dataValidation>
        <x14:dataValidation type="list" allowBlank="1" showInputMessage="1" showErrorMessage="1" xr:uid="{1BF1E3E6-2A70-4BD0-BC2A-0DAA349A02C3}">
          <x14:formula1>
            <xm:f>SOURCE!$A$3:$A$13</xm:f>
          </x14:formula1>
          <xm:sqref>A11:A33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4D5-5746-40D3-9E95-52F83EFD692D}">
  <sheetPr codeName="Feuil4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F828E7-306F-443E-A0F9-612E04E16DF4}">
          <x14:formula1>
            <xm:f>SOURCE!$E$3:$E$18</xm:f>
          </x14:formula1>
          <xm:sqref>C11:C33</xm:sqref>
        </x14:dataValidation>
        <x14:dataValidation type="list" allowBlank="1" showInputMessage="1" showErrorMessage="1" xr:uid="{BEE33E7F-B219-482E-B96D-06A36198663D}">
          <x14:formula1>
            <xm:f>SOURCE!$C$20:$C$21</xm:f>
          </x14:formula1>
          <xm:sqref>D11:D33</xm:sqref>
        </x14:dataValidation>
        <x14:dataValidation type="list" allowBlank="1" showInputMessage="1" showErrorMessage="1" xr:uid="{F4C74AFE-5BC5-48F3-9384-296C89DBE4BC}">
          <x14:formula1>
            <xm:f>SOURCE!$C$3:$C$13</xm:f>
          </x14:formula1>
          <xm:sqref>B11:B33</xm:sqref>
        </x14:dataValidation>
        <x14:dataValidation type="list" allowBlank="1" showInputMessage="1" showErrorMessage="1" xr:uid="{29AA767C-AD74-40CA-93EE-658CBA51B843}">
          <x14:formula1>
            <xm:f>SOURCE!$A$3:$A$13</xm:f>
          </x14:formula1>
          <xm:sqref>A11:A33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67B1-2E72-477E-BA33-3B3DA2B9637B}">
  <sheetPr codeName="Feuil4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4D05AA-F65F-46B1-9C7C-3633A5882B77}">
          <x14:formula1>
            <xm:f>SOURCE!$E$3:$E$18</xm:f>
          </x14:formula1>
          <xm:sqref>C11:C33</xm:sqref>
        </x14:dataValidation>
        <x14:dataValidation type="list" allowBlank="1" showInputMessage="1" showErrorMessage="1" xr:uid="{BF5ED33E-5BF5-4715-A0BC-03FC3545C79D}">
          <x14:formula1>
            <xm:f>SOURCE!$C$20:$C$21</xm:f>
          </x14:formula1>
          <xm:sqref>D11:D33</xm:sqref>
        </x14:dataValidation>
        <x14:dataValidation type="list" allowBlank="1" showInputMessage="1" showErrorMessage="1" xr:uid="{5E85D2A0-7CB1-4D6C-B507-44CEF0A078EF}">
          <x14:formula1>
            <xm:f>SOURCE!$C$3:$C$13</xm:f>
          </x14:formula1>
          <xm:sqref>B11:B33</xm:sqref>
        </x14:dataValidation>
        <x14:dataValidation type="list" allowBlank="1" showInputMessage="1" showErrorMessage="1" xr:uid="{1F3CE242-254D-44B3-9375-69D19B1D2BBA}">
          <x14:formula1>
            <xm:f>SOURCE!$A$3:$A$13</xm:f>
          </x14:formula1>
          <xm:sqref>A11:A33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EF191-4CFC-44FF-8A44-8115D4AB48D1}">
  <sheetPr codeName="Feuil4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A584A2F-7D24-4AA7-8310-994A717C3348}">
          <x14:formula1>
            <xm:f>SOURCE!$E$3:$E$18</xm:f>
          </x14:formula1>
          <xm:sqref>C11:C33</xm:sqref>
        </x14:dataValidation>
        <x14:dataValidation type="list" allowBlank="1" showInputMessage="1" showErrorMessage="1" xr:uid="{513DFE65-96F4-472D-9346-AD71886AAA0D}">
          <x14:formula1>
            <xm:f>SOURCE!$C$20:$C$21</xm:f>
          </x14:formula1>
          <xm:sqref>D11:D33</xm:sqref>
        </x14:dataValidation>
        <x14:dataValidation type="list" allowBlank="1" showInputMessage="1" showErrorMessage="1" xr:uid="{15525F1E-1A15-46E1-812D-B58EB198F5C6}">
          <x14:formula1>
            <xm:f>SOURCE!$C$3:$C$13</xm:f>
          </x14:formula1>
          <xm:sqref>B11:B33</xm:sqref>
        </x14:dataValidation>
        <x14:dataValidation type="list" allowBlank="1" showInputMessage="1" showErrorMessage="1" xr:uid="{162A288F-F131-4899-A5A9-32777192AAFA}">
          <x14:formula1>
            <xm:f>SOURCE!$A$3:$A$13</xm:f>
          </x14:formula1>
          <xm:sqref>A11:A33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A6A59-3925-4C07-895A-FB4EB91D8C00}">
  <sheetPr codeName="Feuil4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24F6E98-2890-405C-AC76-45F7F1632724}">
          <x14:formula1>
            <xm:f>SOURCE!$E$3:$E$18</xm:f>
          </x14:formula1>
          <xm:sqref>C11:C33</xm:sqref>
        </x14:dataValidation>
        <x14:dataValidation type="list" allowBlank="1" showInputMessage="1" showErrorMessage="1" xr:uid="{6BAB70E1-0FC5-4B54-8C8E-099B4DC6F16C}">
          <x14:formula1>
            <xm:f>SOURCE!$C$20:$C$21</xm:f>
          </x14:formula1>
          <xm:sqref>D11:D33</xm:sqref>
        </x14:dataValidation>
        <x14:dataValidation type="list" allowBlank="1" showInputMessage="1" showErrorMessage="1" xr:uid="{B1FC760B-EAA6-4194-B37A-EE0D21EECAB7}">
          <x14:formula1>
            <xm:f>SOURCE!$C$3:$C$13</xm:f>
          </x14:formula1>
          <xm:sqref>B11:B33</xm:sqref>
        </x14:dataValidation>
        <x14:dataValidation type="list" allowBlank="1" showInputMessage="1" showErrorMessage="1" xr:uid="{27E5E250-10C7-44BB-88FE-C4EDE914C3DB}">
          <x14:formula1>
            <xm:f>SOURCE!$A$3:$A$13</xm:f>
          </x14:formula1>
          <xm:sqref>A11:A33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F120-9E76-4E84-8ABA-2556A3E7A66C}">
  <sheetPr codeName="Feuil45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74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7A8C0D-E7BA-44ED-AF41-E6C756E0EDBA}">
          <x14:formula1>
            <xm:f>SOURCE!$E$3:$E$18</xm:f>
          </x14:formula1>
          <xm:sqref>C11:C33</xm:sqref>
        </x14:dataValidation>
        <x14:dataValidation type="list" allowBlank="1" showInputMessage="1" showErrorMessage="1" xr:uid="{0A4091D5-CAF5-4EDD-855B-EB6CF1634E1C}">
          <x14:formula1>
            <xm:f>SOURCE!$C$20:$C$21</xm:f>
          </x14:formula1>
          <xm:sqref>D11:D33</xm:sqref>
        </x14:dataValidation>
        <x14:dataValidation type="list" allowBlank="1" showInputMessage="1" showErrorMessage="1" xr:uid="{582C7F56-98AD-40C7-836D-F944D2E21604}">
          <x14:formula1>
            <xm:f>SOURCE!$C$3:$C$13</xm:f>
          </x14:formula1>
          <xm:sqref>B11:B33</xm:sqref>
        </x14:dataValidation>
        <x14:dataValidation type="list" allowBlank="1" showInputMessage="1" showErrorMessage="1" xr:uid="{CDC03057-433C-42A6-8FD0-997EB96EF653}">
          <x14:formula1>
            <xm:f>SOURCE!$A$3:$A$13</xm:f>
          </x14:formula1>
          <xm:sqref>A11:A33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74E1-E905-41E3-9C8C-D409137B98A3}">
  <sheetPr codeName="Feuil46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75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A24C96-D86B-4505-B81D-0658B7DA771C}">
          <x14:formula1>
            <xm:f>SOURCE!$E$3:$E$18</xm:f>
          </x14:formula1>
          <xm:sqref>C11:C33</xm:sqref>
        </x14:dataValidation>
        <x14:dataValidation type="list" allowBlank="1" showInputMessage="1" showErrorMessage="1" xr:uid="{B6046C41-D660-4E32-900C-0B0F8F3D3D99}">
          <x14:formula1>
            <xm:f>SOURCE!$C$20:$C$21</xm:f>
          </x14:formula1>
          <xm:sqref>D11:D33</xm:sqref>
        </x14:dataValidation>
        <x14:dataValidation type="list" allowBlank="1" showInputMessage="1" showErrorMessage="1" xr:uid="{6FB1E8FE-8C39-4378-9630-F3FE92E5B524}">
          <x14:formula1>
            <xm:f>SOURCE!$C$3:$C$13</xm:f>
          </x14:formula1>
          <xm:sqref>B11:B33</xm:sqref>
        </x14:dataValidation>
        <x14:dataValidation type="list" allowBlank="1" showInputMessage="1" showErrorMessage="1" xr:uid="{9B43C8A8-5CFD-41EF-B6B5-9FEBEA343F40}">
          <x14:formula1>
            <xm:f>SOURCE!$A$3:$A$13</xm:f>
          </x14:formula1>
          <xm:sqref>A11:A33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4F9A9-ACDC-40B7-865B-6D865FFB167E}">
  <sheetPr codeName="Feuil47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76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C07600F-F70E-48B2-8B44-9A8B9A2D8978}">
          <x14:formula1>
            <xm:f>SOURCE!$E$3:$E$18</xm:f>
          </x14:formula1>
          <xm:sqref>C11:C33</xm:sqref>
        </x14:dataValidation>
        <x14:dataValidation type="list" allowBlank="1" showInputMessage="1" showErrorMessage="1" xr:uid="{22C28FF9-B4AB-467C-A722-5B1127BFD1B9}">
          <x14:formula1>
            <xm:f>SOURCE!$C$20:$C$21</xm:f>
          </x14:formula1>
          <xm:sqref>D11:D33</xm:sqref>
        </x14:dataValidation>
        <x14:dataValidation type="list" allowBlank="1" showInputMessage="1" showErrorMessage="1" xr:uid="{40B7045E-2E74-499A-9E11-F18696FDADD1}">
          <x14:formula1>
            <xm:f>SOURCE!$C$3:$C$13</xm:f>
          </x14:formula1>
          <xm:sqref>B11:B33</xm:sqref>
        </x14:dataValidation>
        <x14:dataValidation type="list" allowBlank="1" showInputMessage="1" showErrorMessage="1" xr:uid="{39A81D6C-8505-4C55-8EC6-14423346E7AD}">
          <x14:formula1>
            <xm:f>SOURCE!$A$3:$A$13</xm:f>
          </x14:formula1>
          <xm:sqref>A11:A33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E719-9CCF-4EA1-9CCD-55323BD913E5}">
  <sheetPr codeName="Feuil48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77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F0296C-D43F-445A-8E6D-EC9556224C7E}">
          <x14:formula1>
            <xm:f>SOURCE!$E$3:$E$18</xm:f>
          </x14:formula1>
          <xm:sqref>C11:C33</xm:sqref>
        </x14:dataValidation>
        <x14:dataValidation type="list" allowBlank="1" showInputMessage="1" showErrorMessage="1" xr:uid="{A9435A05-5F71-4710-B825-7F064DB92254}">
          <x14:formula1>
            <xm:f>SOURCE!$C$20:$C$21</xm:f>
          </x14:formula1>
          <xm:sqref>D11:D33</xm:sqref>
        </x14:dataValidation>
        <x14:dataValidation type="list" allowBlank="1" showInputMessage="1" showErrorMessage="1" xr:uid="{96DBEFE9-95FF-484E-B76D-3C71DB876F49}">
          <x14:formula1>
            <xm:f>SOURCE!$C$3:$C$13</xm:f>
          </x14:formula1>
          <xm:sqref>B11:B33</xm:sqref>
        </x14:dataValidation>
        <x14:dataValidation type="list" allowBlank="1" showInputMessage="1" showErrorMessage="1" xr:uid="{4E2EB798-B011-4759-81FE-A5E12726E2BE}">
          <x14:formula1>
            <xm:f>SOURCE!$A$3:$A$13</xm:f>
          </x14:formula1>
          <xm:sqref>A11:A33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BB0A2-AC47-41A0-ADBB-E0533CFCA337}">
  <sheetPr codeName="Feuil49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78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6350DFB-1168-45BB-98B3-EBBBC2F2CD0A}">
          <x14:formula1>
            <xm:f>SOURCE!$E$3:$E$18</xm:f>
          </x14:formula1>
          <xm:sqref>C11:C33</xm:sqref>
        </x14:dataValidation>
        <x14:dataValidation type="list" allowBlank="1" showInputMessage="1" showErrorMessage="1" xr:uid="{C2494C5A-B92C-4D2C-8423-9D3FED4E4664}">
          <x14:formula1>
            <xm:f>SOURCE!$C$20:$C$21</xm:f>
          </x14:formula1>
          <xm:sqref>D11:D33</xm:sqref>
        </x14:dataValidation>
        <x14:dataValidation type="list" allowBlank="1" showInputMessage="1" showErrorMessage="1" xr:uid="{9F3734EB-AA2E-48B7-9E6E-CFDD46338A73}">
          <x14:formula1>
            <xm:f>SOURCE!$C$3:$C$13</xm:f>
          </x14:formula1>
          <xm:sqref>B11:B33</xm:sqref>
        </x14:dataValidation>
        <x14:dataValidation type="list" allowBlank="1" showInputMessage="1" showErrorMessage="1" xr:uid="{A7A753B4-F49C-4AFA-A082-F94B11D5FFB4}">
          <x14:formula1>
            <xm:f>SOURCE!$A$3:$A$13</xm:f>
          </x14:formula1>
          <xm:sqref>A11:A33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5720-36AE-4D59-8F03-80B23BDC9110}">
  <sheetPr codeName="Feuil50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79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1FF9C0-E43E-4A22-9605-CCA5A5F4B005}">
          <x14:formula1>
            <xm:f>SOURCE!$E$3:$E$18</xm:f>
          </x14:formula1>
          <xm:sqref>C11:C33</xm:sqref>
        </x14:dataValidation>
        <x14:dataValidation type="list" allowBlank="1" showInputMessage="1" showErrorMessage="1" xr:uid="{8A3EF291-9FD3-4153-8482-111B8F0FD414}">
          <x14:formula1>
            <xm:f>SOURCE!$C$20:$C$21</xm:f>
          </x14:formula1>
          <xm:sqref>D11:D33</xm:sqref>
        </x14:dataValidation>
        <x14:dataValidation type="list" allowBlank="1" showInputMessage="1" showErrorMessage="1" xr:uid="{B022579C-DCA8-4394-AF6C-6A2C37836576}">
          <x14:formula1>
            <xm:f>SOURCE!$C$3:$C$13</xm:f>
          </x14:formula1>
          <xm:sqref>B11:B33</xm:sqref>
        </x14:dataValidation>
        <x14:dataValidation type="list" allowBlank="1" showInputMessage="1" showErrorMessage="1" xr:uid="{7BD0828C-5DDD-44DF-9C8F-9E1B5C667619}">
          <x14:formula1>
            <xm:f>SOURCE!$A$3:$A$13</xm:f>
          </x14:formula1>
          <xm:sqref>A11:A33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4DD6-9288-460A-B6DF-B7B90E8341A2}">
  <sheetPr codeName="Feuil51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80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0284E82-2542-4D41-9E49-83DAC96078A7}">
          <x14:formula1>
            <xm:f>SOURCE!$E$3:$E$18</xm:f>
          </x14:formula1>
          <xm:sqref>C11:C33</xm:sqref>
        </x14:dataValidation>
        <x14:dataValidation type="list" allowBlank="1" showInputMessage="1" showErrorMessage="1" xr:uid="{F34FF9DD-FCA1-42B8-88F6-35F6F4531CA0}">
          <x14:formula1>
            <xm:f>SOURCE!$C$20:$C$21</xm:f>
          </x14:formula1>
          <xm:sqref>D11:D33</xm:sqref>
        </x14:dataValidation>
        <x14:dataValidation type="list" allowBlank="1" showInputMessage="1" showErrorMessage="1" xr:uid="{F55A8CB5-0946-425C-B42D-E905A85D0D41}">
          <x14:formula1>
            <xm:f>SOURCE!$C$3:$C$13</xm:f>
          </x14:formula1>
          <xm:sqref>B11:B33</xm:sqref>
        </x14:dataValidation>
        <x14:dataValidation type="list" allowBlank="1" showInputMessage="1" showErrorMessage="1" xr:uid="{8953D962-25E7-46E8-939F-E49B8AF42DC3}">
          <x14:formula1>
            <xm:f>SOURCE!$A$3:$A$13</xm:f>
          </x14:formula1>
          <xm:sqref>A11:A33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8102-6938-4B4F-8937-1AA8519103C5}">
  <sheetPr codeName="Feuil52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81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A5A590-2C02-431E-B7AE-5C353E29339A}">
          <x14:formula1>
            <xm:f>SOURCE!$E$3:$E$18</xm:f>
          </x14:formula1>
          <xm:sqref>C11:C33</xm:sqref>
        </x14:dataValidation>
        <x14:dataValidation type="list" allowBlank="1" showInputMessage="1" showErrorMessage="1" xr:uid="{D90C61CC-87D2-48EB-8AB7-85D8AD395C0F}">
          <x14:formula1>
            <xm:f>SOURCE!$C$20:$C$21</xm:f>
          </x14:formula1>
          <xm:sqref>D11:D33</xm:sqref>
        </x14:dataValidation>
        <x14:dataValidation type="list" allowBlank="1" showInputMessage="1" showErrorMessage="1" xr:uid="{93FB10A9-40DB-48ED-820E-E2F8D3555608}">
          <x14:formula1>
            <xm:f>SOURCE!$C$3:$C$13</xm:f>
          </x14:formula1>
          <xm:sqref>B11:B33</xm:sqref>
        </x14:dataValidation>
        <x14:dataValidation type="list" allowBlank="1" showInputMessage="1" showErrorMessage="1" xr:uid="{73FBB1FD-AED8-4048-BBEE-8AE93ECD6447}">
          <x14:formula1>
            <xm:f>SOURCE!$A$3:$A$13</xm:f>
          </x14:formula1>
          <xm:sqref>A11:A33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9C44-2DFA-4D68-82BC-FB010E4ACE9C}">
  <sheetPr codeName="Feuil53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82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EB1E85A-5276-4A93-81A4-74A8B7B1AEA0}">
          <x14:formula1>
            <xm:f>SOURCE!$E$3:$E$18</xm:f>
          </x14:formula1>
          <xm:sqref>C11:C33</xm:sqref>
        </x14:dataValidation>
        <x14:dataValidation type="list" allowBlank="1" showInputMessage="1" showErrorMessage="1" xr:uid="{B2CF611D-A542-41F1-96C3-98745E3ABE49}">
          <x14:formula1>
            <xm:f>SOURCE!$C$20:$C$21</xm:f>
          </x14:formula1>
          <xm:sqref>D11:D33</xm:sqref>
        </x14:dataValidation>
        <x14:dataValidation type="list" allowBlank="1" showInputMessage="1" showErrorMessage="1" xr:uid="{544BEA34-9ADA-423F-9787-1A23A799DB08}">
          <x14:formula1>
            <xm:f>SOURCE!$C$3:$C$13</xm:f>
          </x14:formula1>
          <xm:sqref>B11:B33</xm:sqref>
        </x14:dataValidation>
        <x14:dataValidation type="list" allowBlank="1" showInputMessage="1" showErrorMessage="1" xr:uid="{8AD6DB3F-A118-4505-9FA9-7F1311D149ED}">
          <x14:formula1>
            <xm:f>SOURCE!$A$3:$A$13</xm:f>
          </x14:formula1>
          <xm:sqref>A11:A33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2A32-64AA-437F-88C9-F2350E411B37}">
  <sheetPr codeName="Feuil54"/>
  <dimension ref="A1:M56"/>
  <sheetViews>
    <sheetView workbookViewId="0">
      <selection activeCell="B25" sqref="B25"/>
    </sheetView>
  </sheetViews>
  <sheetFormatPr baseColWidth="10" defaultColWidth="11.5546875" defaultRowHeight="14.4" x14ac:dyDescent="0.3"/>
  <cols>
    <col min="2" max="2" width="40.5546875" customWidth="1"/>
    <col min="12" max="12" width="23.44140625" customWidth="1"/>
    <col min="13" max="13" width="15.5546875" customWidth="1"/>
  </cols>
  <sheetData>
    <row r="1" spans="1:13" ht="15" thickBot="1" x14ac:dyDescent="0.35"/>
    <row r="2" spans="1:13" ht="21.6" thickBot="1" x14ac:dyDescent="0.45">
      <c r="E2" s="179" t="s">
        <v>13</v>
      </c>
      <c r="F2" s="180"/>
      <c r="G2" s="180"/>
      <c r="H2" s="180"/>
      <c r="I2" s="180"/>
      <c r="J2" s="181"/>
    </row>
    <row r="6" spans="1:13" ht="15" thickBot="1" x14ac:dyDescent="0.35">
      <c r="A6" s="4" t="s">
        <v>0</v>
      </c>
      <c r="B6" s="4" t="s">
        <v>135</v>
      </c>
    </row>
    <row r="7" spans="1:13" ht="16.2" thickBot="1" x14ac:dyDescent="0.35">
      <c r="A7" s="4" t="s">
        <v>11</v>
      </c>
      <c r="B7" s="4" t="s">
        <v>83</v>
      </c>
      <c r="L7" s="197" t="s">
        <v>121</v>
      </c>
      <c r="M7" s="198"/>
    </row>
    <row r="8" spans="1:13" ht="15" thickBot="1" x14ac:dyDescent="0.35">
      <c r="L8" s="193" t="s">
        <v>127</v>
      </c>
      <c r="M8" s="194"/>
    </row>
    <row r="9" spans="1:13" ht="15" thickBot="1" x14ac:dyDescent="0.35">
      <c r="E9" s="1" t="s">
        <v>5</v>
      </c>
      <c r="F9" s="1" t="s">
        <v>6</v>
      </c>
      <c r="G9" s="1" t="s">
        <v>7</v>
      </c>
      <c r="H9" s="1" t="s">
        <v>8</v>
      </c>
      <c r="I9" s="2" t="s">
        <v>9</v>
      </c>
      <c r="J9" s="3" t="s">
        <v>10</v>
      </c>
      <c r="L9" s="32" t="s">
        <v>84</v>
      </c>
      <c r="M9" s="33">
        <f>SUMIFS($J$11:$J$33,$C$11:$C$33,"=06",$D$11:$D$33,"=SDD")</f>
        <v>0</v>
      </c>
    </row>
    <row r="10" spans="1:13" ht="15" thickBot="1" x14ac:dyDescent="0.35">
      <c r="A10" s="52" t="s">
        <v>1</v>
      </c>
      <c r="B10" s="53" t="s">
        <v>112</v>
      </c>
      <c r="C10" s="53" t="s">
        <v>2</v>
      </c>
      <c r="D10" s="54" t="s">
        <v>3</v>
      </c>
      <c r="E10" s="56"/>
      <c r="F10" s="57"/>
      <c r="G10" s="57"/>
      <c r="H10" s="57"/>
      <c r="I10" s="58"/>
      <c r="J10" s="59"/>
      <c r="L10" s="24" t="s">
        <v>85</v>
      </c>
      <c r="M10" s="25">
        <f>SUMIFS($J$11:$J$33,$C$11:$C$33,"=06",$D$11:$D$33,"=INDUS")</f>
        <v>0</v>
      </c>
    </row>
    <row r="11" spans="1:13" x14ac:dyDescent="0.3">
      <c r="A11" s="60"/>
      <c r="B11" s="61"/>
      <c r="C11" s="61"/>
      <c r="D11" s="62"/>
      <c r="E11" s="63"/>
      <c r="F11" s="64"/>
      <c r="G11" s="64"/>
      <c r="H11" s="64"/>
      <c r="I11" s="65"/>
      <c r="J11" s="66">
        <f t="shared" ref="J11:J33" si="0">SUM(E11:I11)</f>
        <v>0</v>
      </c>
      <c r="L11" s="32" t="s">
        <v>86</v>
      </c>
      <c r="M11" s="33">
        <f>SUMIFS($J$11:$J$33,$C$11:$C$33,"=07",$D$11:$D$33,"=SDD")</f>
        <v>0</v>
      </c>
    </row>
    <row r="12" spans="1:13" ht="15" thickBot="1" x14ac:dyDescent="0.35">
      <c r="A12" s="60"/>
      <c r="B12" s="61"/>
      <c r="C12" s="61"/>
      <c r="D12" s="62"/>
      <c r="E12" s="63"/>
      <c r="F12" s="64"/>
      <c r="G12" s="64"/>
      <c r="H12" s="64"/>
      <c r="I12" s="65"/>
      <c r="J12" s="66">
        <f t="shared" si="0"/>
        <v>0</v>
      </c>
      <c r="L12" s="24" t="s">
        <v>87</v>
      </c>
      <c r="M12" s="25">
        <f>SUMIFS($J$11:$J$33,$C$11:$C$33,"=07",$D$11:$D$33,"=INDUS")</f>
        <v>0</v>
      </c>
    </row>
    <row r="13" spans="1:13" x14ac:dyDescent="0.3">
      <c r="A13" s="60"/>
      <c r="B13" s="61"/>
      <c r="C13" s="61"/>
      <c r="D13" s="62"/>
      <c r="E13" s="63"/>
      <c r="F13" s="64"/>
      <c r="G13" s="64"/>
      <c r="H13" s="64"/>
      <c r="I13" s="65"/>
      <c r="J13" s="66">
        <f t="shared" si="0"/>
        <v>0</v>
      </c>
      <c r="L13" s="34" t="s">
        <v>88</v>
      </c>
      <c r="M13" s="35">
        <f>SUMIFS($J$11:$J$33,$C$11:$C$33,"=08",$D$11:$D$33,"=SDD")</f>
        <v>0</v>
      </c>
    </row>
    <row r="14" spans="1:13" ht="15" thickBot="1" x14ac:dyDescent="0.35">
      <c r="A14" s="60"/>
      <c r="B14" s="61"/>
      <c r="C14" s="61"/>
      <c r="D14" s="62"/>
      <c r="E14" s="63"/>
      <c r="F14" s="64"/>
      <c r="G14" s="64"/>
      <c r="H14" s="64"/>
      <c r="I14" s="65"/>
      <c r="J14" s="66">
        <f t="shared" si="0"/>
        <v>0</v>
      </c>
      <c r="L14" s="30" t="s">
        <v>89</v>
      </c>
      <c r="M14" s="31">
        <f>SUMIFS($J$11:$J$33,$C$11:$C$33,"=08",$D$11:$D$33,"=INDUS")</f>
        <v>0</v>
      </c>
    </row>
    <row r="15" spans="1:13" x14ac:dyDescent="0.3">
      <c r="A15" s="60"/>
      <c r="B15" s="61"/>
      <c r="C15" s="61"/>
      <c r="D15" s="62"/>
      <c r="E15" s="63"/>
      <c r="F15" s="64"/>
      <c r="G15" s="64"/>
      <c r="H15" s="64"/>
      <c r="I15" s="65"/>
      <c r="J15" s="66">
        <f t="shared" si="0"/>
        <v>0</v>
      </c>
      <c r="L15" s="32" t="s">
        <v>90</v>
      </c>
      <c r="M15" s="33">
        <f>SUMIFS($J$11:$J$33,$C$11:$C$33,"=09",$D$11:$D$33,"=SDD")</f>
        <v>0</v>
      </c>
    </row>
    <row r="16" spans="1:13" ht="15" thickBot="1" x14ac:dyDescent="0.35">
      <c r="A16" s="60"/>
      <c r="B16" s="61"/>
      <c r="C16" s="61"/>
      <c r="D16" s="62"/>
      <c r="E16" s="63"/>
      <c r="F16" s="64"/>
      <c r="G16" s="64"/>
      <c r="H16" s="64"/>
      <c r="I16" s="65"/>
      <c r="J16" s="66">
        <f t="shared" si="0"/>
        <v>0</v>
      </c>
      <c r="L16" s="24" t="s">
        <v>91</v>
      </c>
      <c r="M16" s="25">
        <f>SUMIFS($J$11:$J$33,$C$11:$C$33,"=09",$D$11:$D$33,"=INDUS")</f>
        <v>0</v>
      </c>
    </row>
    <row r="17" spans="1:13" x14ac:dyDescent="0.3">
      <c r="A17" s="60"/>
      <c r="B17" s="61"/>
      <c r="C17" s="61"/>
      <c r="D17" s="62"/>
      <c r="E17" s="63"/>
      <c r="F17" s="64"/>
      <c r="G17" s="64"/>
      <c r="H17" s="64"/>
      <c r="I17" s="65"/>
      <c r="J17" s="66">
        <f t="shared" si="0"/>
        <v>0</v>
      </c>
      <c r="L17" s="32" t="s">
        <v>92</v>
      </c>
      <c r="M17" s="33">
        <f>SUMIFS($J$11:$J$33,$C$11:$C$33,"=14B",$D$11:$D$33,"=SDD")</f>
        <v>0</v>
      </c>
    </row>
    <row r="18" spans="1:13" ht="15" thickBot="1" x14ac:dyDescent="0.35">
      <c r="A18" s="60"/>
      <c r="B18" s="61"/>
      <c r="C18" s="61"/>
      <c r="D18" s="62"/>
      <c r="E18" s="63"/>
      <c r="F18" s="64"/>
      <c r="G18" s="64"/>
      <c r="H18" s="64"/>
      <c r="I18" s="65"/>
      <c r="J18" s="66">
        <f t="shared" si="0"/>
        <v>0</v>
      </c>
      <c r="L18" s="24" t="s">
        <v>93</v>
      </c>
      <c r="M18" s="25">
        <f>SUMIFS($J$11:$J$33,$C$11:$C$33,"=14B",$D$11:$D$33,"=INDUS")</f>
        <v>0</v>
      </c>
    </row>
    <row r="19" spans="1:13" x14ac:dyDescent="0.3">
      <c r="A19" s="60"/>
      <c r="B19" s="61"/>
      <c r="C19" s="61"/>
      <c r="D19" s="62"/>
      <c r="E19" s="63"/>
      <c r="F19" s="64"/>
      <c r="G19" s="64"/>
      <c r="H19" s="64"/>
      <c r="I19" s="65"/>
      <c r="J19" s="66">
        <f t="shared" si="0"/>
        <v>0</v>
      </c>
      <c r="L19" s="32" t="s">
        <v>94</v>
      </c>
      <c r="M19" s="33">
        <f>SUMIFS($J$11:$J$33,$C$11:$C$33,"=14H",$D$11:$D$33,"=SDD")</f>
        <v>0</v>
      </c>
    </row>
    <row r="20" spans="1:13" ht="15" thickBot="1" x14ac:dyDescent="0.35">
      <c r="A20" s="60"/>
      <c r="B20" s="61"/>
      <c r="C20" s="61"/>
      <c r="D20" s="62"/>
      <c r="E20" s="63"/>
      <c r="F20" s="64"/>
      <c r="G20" s="64"/>
      <c r="H20" s="64"/>
      <c r="I20" s="65"/>
      <c r="J20" s="66">
        <f t="shared" si="0"/>
        <v>0</v>
      </c>
      <c r="L20" s="24" t="s">
        <v>95</v>
      </c>
      <c r="M20" s="25">
        <f>SUMIFS($J$11:$J$33,$C$11:$C$33,"=14H",$D$11:$D$33,"=INDUS")</f>
        <v>0</v>
      </c>
    </row>
    <row r="21" spans="1:13" x14ac:dyDescent="0.3">
      <c r="A21" s="60"/>
      <c r="B21" s="61"/>
      <c r="C21" s="61"/>
      <c r="D21" s="62"/>
      <c r="E21" s="63"/>
      <c r="F21" s="64"/>
      <c r="G21" s="64"/>
      <c r="H21" s="64"/>
      <c r="I21" s="65"/>
      <c r="J21" s="66">
        <f t="shared" si="0"/>
        <v>0</v>
      </c>
      <c r="L21" s="32" t="s">
        <v>96</v>
      </c>
      <c r="M21" s="33">
        <f>SUMIFS($J$11:$J$33,$C$11:$C$33,"=15B",$D$11:$D$33,"=SDD")</f>
        <v>0</v>
      </c>
    </row>
    <row r="22" spans="1:13" ht="15" thickBot="1" x14ac:dyDescent="0.35">
      <c r="A22" s="60"/>
      <c r="B22" s="61"/>
      <c r="C22" s="61"/>
      <c r="D22" s="62"/>
      <c r="E22" s="63"/>
      <c r="F22" s="64"/>
      <c r="G22" s="64"/>
      <c r="H22" s="64"/>
      <c r="I22" s="65"/>
      <c r="J22" s="66">
        <f t="shared" si="0"/>
        <v>0</v>
      </c>
      <c r="L22" s="24" t="s">
        <v>98</v>
      </c>
      <c r="M22" s="25">
        <f>SUMIFS($J$11:$J$33,$C$11:$C$33,"=15B",$D$11:$D$33,"=INDUS")</f>
        <v>0</v>
      </c>
    </row>
    <row r="23" spans="1:13" x14ac:dyDescent="0.3">
      <c r="A23" s="60"/>
      <c r="B23" s="61"/>
      <c r="C23" s="61"/>
      <c r="D23" s="62"/>
      <c r="E23" s="63"/>
      <c r="F23" s="64"/>
      <c r="G23" s="64"/>
      <c r="H23" s="64"/>
      <c r="I23" s="65"/>
      <c r="J23" s="66">
        <f t="shared" si="0"/>
        <v>0</v>
      </c>
      <c r="L23" s="32" t="s">
        <v>99</v>
      </c>
      <c r="M23" s="33">
        <f>SUMIFS($J$11:$J$33,$C$11:$C$33,"=15H",$D$11:$D$33,"=SDD")</f>
        <v>0</v>
      </c>
    </row>
    <row r="24" spans="1:13" ht="15" thickBot="1" x14ac:dyDescent="0.35">
      <c r="A24" s="60"/>
      <c r="B24" s="61"/>
      <c r="C24" s="61"/>
      <c r="D24" s="62"/>
      <c r="E24" s="63"/>
      <c r="F24" s="64"/>
      <c r="G24" s="64"/>
      <c r="H24" s="64"/>
      <c r="I24" s="65"/>
      <c r="J24" s="66">
        <f t="shared" si="0"/>
        <v>0</v>
      </c>
      <c r="L24" s="24" t="s">
        <v>97</v>
      </c>
      <c r="M24" s="25">
        <f>SUMIFS($J$11:$J$33,$C$11:$C$33,"=15H",$D$11:$D$33,"=INDUS")</f>
        <v>0</v>
      </c>
    </row>
    <row r="25" spans="1:13" x14ac:dyDescent="0.3">
      <c r="A25" s="60"/>
      <c r="B25" s="61"/>
      <c r="C25" s="61"/>
      <c r="D25" s="62"/>
      <c r="E25" s="63"/>
      <c r="F25" s="64"/>
      <c r="G25" s="64"/>
      <c r="H25" s="64"/>
      <c r="I25" s="65"/>
      <c r="J25" s="66">
        <f t="shared" si="0"/>
        <v>0</v>
      </c>
      <c r="L25" s="32" t="s">
        <v>100</v>
      </c>
      <c r="M25" s="33">
        <f>SUMIFS($J$11:$J$33,$C$11:$C$33,"=16B",$D$11:$D$33,"=SDD")</f>
        <v>0</v>
      </c>
    </row>
    <row r="26" spans="1:13" ht="15" thickBot="1" x14ac:dyDescent="0.35">
      <c r="A26" s="60"/>
      <c r="B26" s="61"/>
      <c r="C26" s="61"/>
      <c r="D26" s="62"/>
      <c r="E26" s="63"/>
      <c r="F26" s="64"/>
      <c r="G26" s="64"/>
      <c r="H26" s="64"/>
      <c r="I26" s="65"/>
      <c r="J26" s="66">
        <f t="shared" si="0"/>
        <v>0</v>
      </c>
      <c r="L26" s="24" t="s">
        <v>101</v>
      </c>
      <c r="M26" s="25">
        <f>SUMIFS($J$11:$J$33,$C$11:$C$33,"=16B",$D$11:$D$33,"=INDUS")</f>
        <v>0</v>
      </c>
    </row>
    <row r="27" spans="1:13" x14ac:dyDescent="0.3">
      <c r="A27" s="60"/>
      <c r="B27" s="61"/>
      <c r="C27" s="61"/>
      <c r="D27" s="62"/>
      <c r="E27" s="63"/>
      <c r="F27" s="64"/>
      <c r="G27" s="64"/>
      <c r="H27" s="64"/>
      <c r="I27" s="65"/>
      <c r="J27" s="66">
        <f t="shared" si="0"/>
        <v>0</v>
      </c>
      <c r="L27" s="32" t="s">
        <v>102</v>
      </c>
      <c r="M27" s="33">
        <f>SUMIFS($J$11:$J$33,$C$11:$C$33,"=16H",$D$11:$D$33,"=SDD")</f>
        <v>0</v>
      </c>
    </row>
    <row r="28" spans="1:13" ht="15" thickBot="1" x14ac:dyDescent="0.35">
      <c r="A28" s="60"/>
      <c r="B28" s="61"/>
      <c r="C28" s="61"/>
      <c r="D28" s="62"/>
      <c r="E28" s="63"/>
      <c r="F28" s="64"/>
      <c r="G28" s="64"/>
      <c r="H28" s="64"/>
      <c r="I28" s="65"/>
      <c r="J28" s="66">
        <f t="shared" si="0"/>
        <v>0</v>
      </c>
      <c r="L28" s="24" t="s">
        <v>103</v>
      </c>
      <c r="M28" s="25">
        <f>SUMIFS($J$11:$J$33,$C$11:$C$33,"=16H",$D$11:$D$33,"=INDUS")</f>
        <v>0</v>
      </c>
    </row>
    <row r="29" spans="1:13" x14ac:dyDescent="0.3">
      <c r="A29" s="60"/>
      <c r="B29" s="61"/>
      <c r="C29" s="61"/>
      <c r="D29" s="62"/>
      <c r="E29" s="63"/>
      <c r="F29" s="64"/>
      <c r="G29" s="64"/>
      <c r="H29" s="64"/>
      <c r="I29" s="65"/>
      <c r="J29" s="66">
        <f t="shared" si="0"/>
        <v>0</v>
      </c>
      <c r="L29" s="32" t="s">
        <v>104</v>
      </c>
      <c r="M29" s="33">
        <f>SUMIFS($J$11:$J$33,$C$11:$C$33,"=17",$D$11:$D$33,"=SDD")</f>
        <v>0</v>
      </c>
    </row>
    <row r="30" spans="1:13" ht="15" thickBot="1" x14ac:dyDescent="0.35">
      <c r="A30" s="60"/>
      <c r="B30" s="61"/>
      <c r="C30" s="61"/>
      <c r="D30" s="62"/>
      <c r="E30" s="63"/>
      <c r="F30" s="64"/>
      <c r="G30" s="64"/>
      <c r="H30" s="64"/>
      <c r="I30" s="65"/>
      <c r="J30" s="66">
        <f t="shared" si="0"/>
        <v>0</v>
      </c>
      <c r="L30" s="24" t="s">
        <v>105</v>
      </c>
      <c r="M30" s="25">
        <f>SUMIFS($J$11:$J$33,$C$11:$C$33,"=17",$D$11:$D$33,"=INDUS")</f>
        <v>0</v>
      </c>
    </row>
    <row r="31" spans="1:13" x14ac:dyDescent="0.3">
      <c r="A31" s="60"/>
      <c r="B31" s="61"/>
      <c r="C31" s="61"/>
      <c r="D31" s="62"/>
      <c r="E31" s="63"/>
      <c r="F31" s="64"/>
      <c r="G31" s="64"/>
      <c r="H31" s="64"/>
      <c r="I31" s="65"/>
      <c r="J31" s="66">
        <f t="shared" si="0"/>
        <v>0</v>
      </c>
      <c r="L31" s="32" t="s">
        <v>106</v>
      </c>
      <c r="M31" s="33">
        <f>SUMIFS($J$11:$J$33,$C$11:$C$33,"=22",$D$11:$D$33,"=SDD")</f>
        <v>0</v>
      </c>
    </row>
    <row r="32" spans="1:13" ht="15" thickBot="1" x14ac:dyDescent="0.35">
      <c r="A32" s="60"/>
      <c r="B32" s="61"/>
      <c r="C32" s="61"/>
      <c r="D32" s="62"/>
      <c r="E32" s="63"/>
      <c r="F32" s="64"/>
      <c r="G32" s="64"/>
      <c r="H32" s="64"/>
      <c r="I32" s="65"/>
      <c r="J32" s="66">
        <f t="shared" si="0"/>
        <v>0</v>
      </c>
      <c r="L32" s="24" t="s">
        <v>107</v>
      </c>
      <c r="M32" s="25">
        <f>SUMIFS($J$11:$J$33,$C$11:$C$33,"=22",$D$11:$D$33,"=INDUS")</f>
        <v>0</v>
      </c>
    </row>
    <row r="33" spans="1:13" ht="15" thickBot="1" x14ac:dyDescent="0.35">
      <c r="A33" s="60"/>
      <c r="B33" s="61"/>
      <c r="C33" s="61"/>
      <c r="D33" s="62"/>
      <c r="E33" s="67"/>
      <c r="F33" s="68"/>
      <c r="G33" s="68"/>
      <c r="H33" s="68"/>
      <c r="I33" s="69"/>
      <c r="J33" s="70">
        <f t="shared" si="0"/>
        <v>0</v>
      </c>
      <c r="L33" s="32" t="s">
        <v>108</v>
      </c>
      <c r="M33" s="33">
        <f>SUMIFS($J$11:$J$33,$C$11:$C$33,"=23",$D$11:$D$33,"=SDD")</f>
        <v>0</v>
      </c>
    </row>
    <row r="34" spans="1:13" ht="15" thickBot="1" x14ac:dyDescent="0.35">
      <c r="A34" s="71"/>
      <c r="B34" s="72"/>
      <c r="C34" s="72"/>
      <c r="D34" s="55" t="s">
        <v>10</v>
      </c>
      <c r="E34" s="73">
        <f>SUM(E11:E33)</f>
        <v>0</v>
      </c>
      <c r="F34" s="74">
        <f>SUM(F11:F33)</f>
        <v>0</v>
      </c>
      <c r="G34" s="74">
        <f>SUM(G11:G33)</f>
        <v>0</v>
      </c>
      <c r="H34" s="74">
        <f>SUM(H11:H33)</f>
        <v>0</v>
      </c>
      <c r="I34" s="75">
        <f>SUM(I11:I33)</f>
        <v>0</v>
      </c>
      <c r="J34" s="76">
        <f>SUM(E34:I34)</f>
        <v>0</v>
      </c>
      <c r="L34" s="24" t="s">
        <v>109</v>
      </c>
      <c r="M34" s="25">
        <f>SUMIFS($J$11:$J$33,$C$11:$C$33,"=23",$D$11:$D$33,"=INDUS")</f>
        <v>0</v>
      </c>
    </row>
    <row r="35" spans="1:13" x14ac:dyDescent="0.3">
      <c r="L35" s="32" t="s">
        <v>110</v>
      </c>
      <c r="M35" s="33">
        <f>SUMIFS($J$11:$J$33,$C$11:$C$33,"=24",$D$11:$D$33,"=SDD")</f>
        <v>0</v>
      </c>
    </row>
    <row r="36" spans="1:13" ht="15" thickBot="1" x14ac:dyDescent="0.35">
      <c r="L36" s="24" t="s">
        <v>111</v>
      </c>
      <c r="M36" s="25">
        <f>SUMIFS($J$11:$J$33,$C$11:$C$33,"=24",$D$11:$D$33,"=INDUS")</f>
        <v>0</v>
      </c>
    </row>
    <row r="37" spans="1:13" x14ac:dyDescent="0.3">
      <c r="L37" s="195"/>
      <c r="M37" s="196"/>
    </row>
    <row r="38" spans="1:13" ht="15" thickBot="1" x14ac:dyDescent="0.35">
      <c r="L38" s="199"/>
      <c r="M38" s="200"/>
    </row>
    <row r="39" spans="1:13" ht="15" thickBot="1" x14ac:dyDescent="0.35">
      <c r="L39" s="193" t="s">
        <v>130</v>
      </c>
      <c r="M39" s="194"/>
    </row>
    <row r="40" spans="1:13" x14ac:dyDescent="0.3">
      <c r="L40" s="32" t="s">
        <v>113</v>
      </c>
      <c r="M40" s="33">
        <f>SUMIFS($J$11:$J$33,$A$11:$A$33,"=CMN",$B$11:$B$33,"=FORMATION")</f>
        <v>0</v>
      </c>
    </row>
    <row r="41" spans="1:13" x14ac:dyDescent="0.3">
      <c r="L41" s="22" t="s">
        <v>14</v>
      </c>
      <c r="M41" s="23">
        <f>SUMIFS($J$11:$J$33,$A$11:$A$33,"=CMN",$B$11:$B$33,"=GESTION PROJET")</f>
        <v>0</v>
      </c>
    </row>
    <row r="42" spans="1:13" x14ac:dyDescent="0.3">
      <c r="L42" s="22" t="s">
        <v>15</v>
      </c>
      <c r="M42" s="23">
        <f>SUMIFS($J$11:$J$33,$A$11:$A$33,"=CMN",$B$11:$B$33,"=REUNION")</f>
        <v>0</v>
      </c>
    </row>
    <row r="43" spans="1:13" x14ac:dyDescent="0.3">
      <c r="L43" s="22" t="s">
        <v>131</v>
      </c>
      <c r="M43" s="23">
        <f>SUMIFS($J$11:$J$33,$A$11:$A$33,"=CMN",$B$11:$B$33,"=STRUCTURE")</f>
        <v>0</v>
      </c>
    </row>
    <row r="44" spans="1:13" x14ac:dyDescent="0.3">
      <c r="L44" s="26" t="s">
        <v>12</v>
      </c>
      <c r="M44" s="27">
        <f>SUMIFS($J$11:$J$33,$A$11:$A$33,"=CMN",$B$11:$B$33,"=CARLINGAGE")</f>
        <v>0</v>
      </c>
    </row>
    <row r="45" spans="1:13" x14ac:dyDescent="0.3">
      <c r="L45" s="26" t="s">
        <v>145</v>
      </c>
      <c r="M45" s="27">
        <f>SUMIFS($J$11:$J$33,$A$11:$A$33,"=CMN",$B$11:$B$33,"=PANNE INFORMATIQUE")</f>
        <v>0</v>
      </c>
    </row>
    <row r="46" spans="1:13" ht="15" thickBot="1" x14ac:dyDescent="0.35">
      <c r="L46" s="28" t="s">
        <v>146</v>
      </c>
      <c r="M46" s="29">
        <f>SUMIFS($J$11:$J$33,$A$11:$A$33,"=CMN",$B$11:$B$33,"=ATTENTE")</f>
        <v>0</v>
      </c>
    </row>
    <row r="47" spans="1:13" x14ac:dyDescent="0.3">
      <c r="L47" s="199"/>
      <c r="M47" s="200"/>
    </row>
    <row r="48" spans="1:13" ht="15" thickBot="1" x14ac:dyDescent="0.35">
      <c r="L48" s="188"/>
      <c r="M48" s="189"/>
    </row>
    <row r="49" spans="12:13" ht="15" thickBot="1" x14ac:dyDescent="0.35">
      <c r="L49" s="193" t="s">
        <v>132</v>
      </c>
      <c r="M49" s="194"/>
    </row>
    <row r="50" spans="12:13" x14ac:dyDescent="0.3">
      <c r="L50" s="32" t="s">
        <v>113</v>
      </c>
      <c r="M50" s="33">
        <f>SUMIFS($J$11:$J$33,$A$11:$A$33,"=AUTRE",$B$11:$B$33,"=FORMATION")</f>
        <v>0</v>
      </c>
    </row>
    <row r="51" spans="12:13" x14ac:dyDescent="0.3">
      <c r="L51" s="22" t="s">
        <v>14</v>
      </c>
      <c r="M51" s="23">
        <f>SUMIFS($J$11:$J$33,$A$11:$A$33,"=AUTRE",$B$11:$B$33,"=GESTION PROJET")</f>
        <v>0</v>
      </c>
    </row>
    <row r="52" spans="12:13" x14ac:dyDescent="0.3">
      <c r="L52" s="22" t="s">
        <v>15</v>
      </c>
      <c r="M52" s="23">
        <f>SUMIFS($J$11:$J$33,$A$11:$A$33,"=AUTRE",$B$11:$B$33,"=REUNION")</f>
        <v>0</v>
      </c>
    </row>
    <row r="53" spans="12:13" x14ac:dyDescent="0.3">
      <c r="L53" s="26" t="s">
        <v>131</v>
      </c>
      <c r="M53" s="23">
        <f>SUMIFS($J$11:$J$33,$A$11:$A$33,"=AUTRE",$B$11:$B$33,"=STRUCTURE")</f>
        <v>0</v>
      </c>
    </row>
    <row r="54" spans="12:13" x14ac:dyDescent="0.3">
      <c r="L54" s="26" t="s">
        <v>12</v>
      </c>
      <c r="M54" s="27">
        <f>SUMIFS($J$11:$J$33,$A$11:$A$33,"=AUTRE",$B$11:$B$33,"=CARLINGAGE")</f>
        <v>0</v>
      </c>
    </row>
    <row r="55" spans="12:13" x14ac:dyDescent="0.3">
      <c r="L55" s="26" t="s">
        <v>145</v>
      </c>
      <c r="M55" s="27">
        <f>SUMIFS($J$11:$J$33,$A$11:$A$33,"=AUTRE",$B$11:$B$33,"=PANNE INFORMATIQUE")</f>
        <v>0</v>
      </c>
    </row>
    <row r="56" spans="12:13" ht="15" thickBot="1" x14ac:dyDescent="0.35">
      <c r="L56" s="28" t="s">
        <v>146</v>
      </c>
      <c r="M56" s="29">
        <f>SUMIFS($J$11:$J$33,$A$11:$A$33,"=AUTRE",$B$11:$B$33,"=ATTENTE")</f>
        <v>0</v>
      </c>
    </row>
  </sheetData>
  <mergeCells count="7">
    <mergeCell ref="L49:M49"/>
    <mergeCell ref="L47:M48"/>
    <mergeCell ref="E2:J2"/>
    <mergeCell ref="L7:M7"/>
    <mergeCell ref="L8:M8"/>
    <mergeCell ref="L39:M39"/>
    <mergeCell ref="L37:M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68D02-A8E7-49D0-B3C7-F060E06EBFFF}">
          <x14:formula1>
            <xm:f>SOURCE!$E$3:$E$18</xm:f>
          </x14:formula1>
          <xm:sqref>C11:C33</xm:sqref>
        </x14:dataValidation>
        <x14:dataValidation type="list" allowBlank="1" showInputMessage="1" showErrorMessage="1" xr:uid="{88CE9D8F-3B4D-4778-8CD4-9E282B206686}">
          <x14:formula1>
            <xm:f>SOURCE!$C$20:$C$21</xm:f>
          </x14:formula1>
          <xm:sqref>D11:D33</xm:sqref>
        </x14:dataValidation>
        <x14:dataValidation type="list" allowBlank="1" showInputMessage="1" showErrorMessage="1" xr:uid="{FA5BB2DA-3C7B-40D8-8E9D-E31EBFBF87E0}">
          <x14:formula1>
            <xm:f>SOURCE!$C$3:$C$13</xm:f>
          </x14:formula1>
          <xm:sqref>B11:B33</xm:sqref>
        </x14:dataValidation>
        <x14:dataValidation type="list" allowBlank="1" showInputMessage="1" showErrorMessage="1" xr:uid="{462FB43F-D92D-4488-AA4A-A423FF5E89CB}">
          <x14:formula1>
            <xm:f>SOURCE!$A$3:$A$13</xm:f>
          </x14:formula1>
          <xm:sqref>A11:A33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F467E-2EAF-4AEC-A2DD-962299A018B2}">
  <sheetPr codeName="Feuil55"/>
  <dimension ref="B6"/>
  <sheetViews>
    <sheetView workbookViewId="0">
      <selection activeCell="P17" sqref="P17"/>
    </sheetView>
  </sheetViews>
  <sheetFormatPr baseColWidth="10" defaultRowHeight="14.4" x14ac:dyDescent="0.3"/>
  <sheetData>
    <row r="6" spans="2:2" x14ac:dyDescent="0.3">
      <c r="B6" t="s"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55</vt:i4>
      </vt:variant>
      <vt:variant>
        <vt:lpstr>Plages nommées</vt:lpstr>
      </vt:variant>
      <vt:variant>
        <vt:i4>3</vt:i4>
      </vt:variant>
    </vt:vector>
  </HeadingPairs>
  <TitlesOfParts>
    <vt:vector size="58" baseType="lpstr">
      <vt:lpstr>BILAN</vt:lpstr>
      <vt:lpstr>SOURCE</vt:lpstr>
      <vt:lpstr>debut</vt:lpstr>
      <vt:lpstr>Se41</vt:lpstr>
      <vt:lpstr>Se42</vt:lpstr>
      <vt:lpstr>Se43</vt:lpstr>
      <vt:lpstr>Se44</vt:lpstr>
      <vt:lpstr>Se45</vt:lpstr>
      <vt:lpstr>Se46</vt:lpstr>
      <vt:lpstr>Se47</vt:lpstr>
      <vt:lpstr>Se48</vt:lpstr>
      <vt:lpstr>Se49</vt:lpstr>
      <vt:lpstr>Se50</vt:lpstr>
      <vt:lpstr>Se51</vt:lpstr>
      <vt:lpstr>Se52</vt:lpstr>
      <vt:lpstr>Se01</vt:lpstr>
      <vt:lpstr>Se02</vt:lpstr>
      <vt:lpstr>Se03</vt:lpstr>
      <vt:lpstr>Se04</vt:lpstr>
      <vt:lpstr>Se05</vt:lpstr>
      <vt:lpstr>Se06</vt:lpstr>
      <vt:lpstr>Se07</vt:lpstr>
      <vt:lpstr>Se08</vt:lpstr>
      <vt:lpstr>Se09</vt:lpstr>
      <vt:lpstr>Se10</vt:lpstr>
      <vt:lpstr>Se11</vt:lpstr>
      <vt:lpstr>Se12</vt:lpstr>
      <vt:lpstr>Se13</vt:lpstr>
      <vt:lpstr>Se14</vt:lpstr>
      <vt:lpstr>Se15</vt:lpstr>
      <vt:lpstr>Se16</vt:lpstr>
      <vt:lpstr>Se17</vt:lpstr>
      <vt:lpstr>Se18</vt:lpstr>
      <vt:lpstr>Se19</vt:lpstr>
      <vt:lpstr>Se20</vt:lpstr>
      <vt:lpstr>Se21</vt:lpstr>
      <vt:lpstr>Se22</vt:lpstr>
      <vt:lpstr>Se23</vt:lpstr>
      <vt:lpstr>Se24</vt:lpstr>
      <vt:lpstr>Se25</vt:lpstr>
      <vt:lpstr>Se26</vt:lpstr>
      <vt:lpstr>Se27</vt:lpstr>
      <vt:lpstr>Se28</vt:lpstr>
      <vt:lpstr>Se29</vt:lpstr>
      <vt:lpstr>Se30</vt:lpstr>
      <vt:lpstr>Se31</vt:lpstr>
      <vt:lpstr>Se32</vt:lpstr>
      <vt:lpstr>Se33</vt:lpstr>
      <vt:lpstr>Se34</vt:lpstr>
      <vt:lpstr>Se35</vt:lpstr>
      <vt:lpstr>Se36</vt:lpstr>
      <vt:lpstr>Se37</vt:lpstr>
      <vt:lpstr>Se38</vt:lpstr>
      <vt:lpstr>Se39</vt:lpstr>
      <vt:lpstr>fin</vt:lpstr>
      <vt:lpstr>FTI</vt:lpstr>
      <vt:lpstr>METIER</vt:lpstr>
      <vt:lpstr>PROJET</vt:lpstr>
    </vt:vector>
  </TitlesOfParts>
  <Company>Naval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VAUGRENARD, Alexandra</dc:creator>
  <cp:lastModifiedBy>BOUFARES Marwen</cp:lastModifiedBy>
  <dcterms:created xsi:type="dcterms:W3CDTF">2020-06-17T08:16:39Z</dcterms:created>
  <dcterms:modified xsi:type="dcterms:W3CDTF">2024-08-08T10:23:27Z</dcterms:modified>
</cp:coreProperties>
</file>