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as-agir-lorien\agir-lorient\BE-Lorient\Administratif\Gestion personnel\Pointages\Suivi heures CMN\"/>
    </mc:Choice>
  </mc:AlternateContent>
  <xr:revisionPtr revIDLastSave="0" documentId="13_ncr:1_{F6D7A9A4-2AFA-4CB1-846F-F161BC9F3DF7}" xr6:coauthVersionLast="47" xr6:coauthVersionMax="47" xr10:uidLastSave="{00000000-0000-0000-0000-000000000000}"/>
  <bookViews>
    <workbookView xWindow="-120" yWindow="-120" windowWidth="29040" windowHeight="15840" tabRatio="688" activeTab="1" xr2:uid="{00000000-000D-0000-FFFF-FFFF00000000}"/>
  </bookViews>
  <sheets>
    <sheet name="BILAN" sheetId="106" r:id="rId1"/>
    <sheet name="SOURCE" sheetId="2" r:id="rId2"/>
    <sheet name="debut" sheetId="104" state="hidden" r:id="rId3"/>
    <sheet name="Se41" sheetId="17" state="hidden" r:id="rId4"/>
    <sheet name="Se42" sheetId="18" state="hidden" r:id="rId5"/>
    <sheet name="Se43" sheetId="19" state="hidden" r:id="rId6"/>
    <sheet name="Se44" sheetId="20" state="hidden" r:id="rId7"/>
    <sheet name="Se45" sheetId="21" state="hidden" r:id="rId8"/>
    <sheet name="Se46" sheetId="22" state="hidden" r:id="rId9"/>
    <sheet name="Se47" sheetId="23" state="hidden" r:id="rId10"/>
    <sheet name="Se48" sheetId="24" state="hidden" r:id="rId11"/>
    <sheet name="Se49" sheetId="25" state="hidden" r:id="rId12"/>
    <sheet name="Se50" sheetId="26" state="hidden" r:id="rId13"/>
    <sheet name="Se51" sheetId="27" state="hidden" r:id="rId14"/>
    <sheet name="Se52" sheetId="28" state="hidden" r:id="rId15"/>
    <sheet name="Se01" sheetId="57" state="hidden" r:id="rId16"/>
    <sheet name="Se02" sheetId="58" state="hidden" r:id="rId17"/>
    <sheet name="Se03" sheetId="59" state="hidden" r:id="rId18"/>
    <sheet name="Se04" sheetId="60" state="hidden" r:id="rId19"/>
    <sheet name="Se05" sheetId="61" state="hidden" r:id="rId20"/>
    <sheet name="Se06" sheetId="62" state="hidden" r:id="rId21"/>
    <sheet name="Se07" sheetId="63" state="hidden" r:id="rId22"/>
    <sheet name="Se08" sheetId="64" state="hidden" r:id="rId23"/>
    <sheet name="Se09" sheetId="65" state="hidden" r:id="rId24"/>
    <sheet name="Se10" sheetId="66" state="hidden" r:id="rId25"/>
    <sheet name="Se11" sheetId="67" state="hidden" r:id="rId26"/>
    <sheet name="Se12" sheetId="68" state="hidden" r:id="rId27"/>
    <sheet name="Se13" sheetId="69" state="hidden" r:id="rId28"/>
    <sheet name="Se14" sheetId="70" state="hidden" r:id="rId29"/>
    <sheet name="Se15" sheetId="71" state="hidden" r:id="rId30"/>
    <sheet name="Se16" sheetId="72" state="hidden" r:id="rId31"/>
    <sheet name="Se17" sheetId="73" state="hidden" r:id="rId32"/>
    <sheet name="Se18" sheetId="74" state="hidden" r:id="rId33"/>
    <sheet name="Se19" sheetId="75" state="hidden" r:id="rId34"/>
    <sheet name="Se20" sheetId="76" state="hidden" r:id="rId35"/>
    <sheet name="Se21" sheetId="77" state="hidden" r:id="rId36"/>
    <sheet name="Se22" sheetId="78" state="hidden" r:id="rId37"/>
    <sheet name="Se23" sheetId="79" state="hidden" r:id="rId38"/>
    <sheet name="Se24" sheetId="80" state="hidden" r:id="rId39"/>
    <sheet name="Se25" sheetId="81" state="hidden" r:id="rId40"/>
    <sheet name="Se26" sheetId="82" state="hidden" r:id="rId41"/>
    <sheet name="Se27" sheetId="83" state="hidden" r:id="rId42"/>
    <sheet name="Se28" sheetId="84" state="hidden" r:id="rId43"/>
    <sheet name="Se29" sheetId="85" state="hidden" r:id="rId44"/>
    <sheet name="Se30" sheetId="86" state="hidden" r:id="rId45"/>
    <sheet name="Se31" sheetId="87" state="hidden" r:id="rId46"/>
    <sheet name="Se32" sheetId="88" state="hidden" r:id="rId47"/>
    <sheet name="Se33" sheetId="89" state="hidden" r:id="rId48"/>
    <sheet name="Se34" sheetId="90" state="hidden" r:id="rId49"/>
    <sheet name="Se35" sheetId="91" state="hidden" r:id="rId50"/>
    <sheet name="Se36" sheetId="92" state="hidden" r:id="rId51"/>
    <sheet name="Se37" sheetId="93" state="hidden" r:id="rId52"/>
    <sheet name="Se38" sheetId="94" state="hidden" r:id="rId53"/>
    <sheet name="Se39" sheetId="95" state="hidden" r:id="rId54"/>
    <sheet name="fin" sheetId="105" state="hidden" r:id="rId55"/>
  </sheets>
  <externalReferences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FTI">SOURCE!$E$3:$E$5</definedName>
    <definedName name="GOWING" localSheetId="1">SOURCE!#REF!</definedName>
    <definedName name="METIER">SOURCE!$C$4:$C$5</definedName>
    <definedName name="PROJET">SOURCE!$A$4:$A$7</definedName>
    <definedName name="TACHES">SOURCE!#REF!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106" l="1"/>
  <c r="O38" i="106"/>
  <c r="C38" i="106"/>
  <c r="C11" i="106"/>
  <c r="C20" i="106"/>
  <c r="C28" i="106"/>
  <c r="C4" i="106"/>
  <c r="C12" i="106"/>
  <c r="C21" i="106"/>
  <c r="C29" i="106"/>
  <c r="C14" i="106"/>
  <c r="C22" i="106"/>
  <c r="C19" i="106"/>
  <c r="C6" i="106"/>
  <c r="C15" i="106"/>
  <c r="C23" i="106"/>
  <c r="C27" i="106"/>
  <c r="C16" i="106"/>
  <c r="C24" i="106"/>
  <c r="C10" i="106"/>
  <c r="C13" i="106"/>
  <c r="C8" i="106"/>
  <c r="C17" i="106"/>
  <c r="C25" i="106"/>
  <c r="C9" i="106"/>
  <c r="C18" i="106"/>
  <c r="C26" i="106"/>
  <c r="P7" i="106"/>
  <c r="P23" i="106"/>
  <c r="P22" i="106"/>
  <c r="P10" i="106"/>
  <c r="P6" i="106"/>
  <c r="P4" i="106"/>
  <c r="J44" i="106"/>
  <c r="J45" i="106"/>
  <c r="J46" i="106"/>
  <c r="J47" i="106"/>
  <c r="J48" i="106"/>
  <c r="J43" i="106"/>
  <c r="J42" i="106"/>
  <c r="J34" i="106"/>
  <c r="J35" i="106"/>
  <c r="J36" i="106"/>
  <c r="J37" i="106"/>
  <c r="J38" i="106"/>
  <c r="J39" i="106"/>
  <c r="J33" i="106"/>
  <c r="J6" i="106"/>
  <c r="J7" i="106"/>
  <c r="J8" i="106"/>
  <c r="J9" i="106"/>
  <c r="J10" i="106"/>
  <c r="J11" i="106"/>
  <c r="J12" i="106"/>
  <c r="J13" i="106"/>
  <c r="J14" i="106"/>
  <c r="J15" i="106"/>
  <c r="J16" i="106"/>
  <c r="J17" i="106"/>
  <c r="J18" i="106"/>
  <c r="J19" i="106"/>
  <c r="J20" i="106"/>
  <c r="J21" i="106"/>
  <c r="J22" i="106"/>
  <c r="J23" i="106"/>
  <c r="J24" i="106"/>
  <c r="J25" i="106"/>
  <c r="J26" i="106"/>
  <c r="J27" i="106"/>
  <c r="J28" i="106"/>
  <c r="J29" i="106"/>
  <c r="J30" i="106"/>
  <c r="J31" i="106"/>
  <c r="J5" i="106"/>
  <c r="J4" i="106"/>
  <c r="C30" i="106"/>
  <c r="C5" i="106"/>
  <c r="C7" i="106"/>
  <c r="C43" i="106"/>
  <c r="C44" i="106"/>
  <c r="C45" i="106"/>
  <c r="C46" i="106"/>
  <c r="C47" i="106"/>
  <c r="C48" i="106"/>
  <c r="C42" i="106"/>
  <c r="C34" i="106"/>
  <c r="C35" i="106"/>
  <c r="C36" i="106"/>
  <c r="C37" i="106"/>
  <c r="C39" i="106"/>
  <c r="C33" i="106"/>
  <c r="C31" i="106"/>
  <c r="P21" i="106"/>
  <c r="P20" i="106"/>
  <c r="P9" i="106"/>
  <c r="P8" i="106"/>
  <c r="P5" i="106"/>
  <c r="P25" i="106"/>
  <c r="P24" i="106"/>
  <c r="M8" i="106" l="1"/>
  <c r="M16" i="106"/>
  <c r="M20" i="106"/>
  <c r="M44" i="106"/>
  <c r="M15" i="106"/>
  <c r="M30" i="106"/>
  <c r="M7" i="106"/>
  <c r="M42" i="106"/>
  <c r="M24" i="106"/>
  <c r="M11" i="106"/>
  <c r="M19" i="106"/>
  <c r="M36" i="106"/>
  <c r="M22" i="106"/>
  <c r="H36" i="106"/>
  <c r="H30" i="106"/>
  <c r="H4" i="106"/>
  <c r="H12" i="106"/>
  <c r="H29" i="106"/>
  <c r="H5" i="106"/>
  <c r="H22" i="106"/>
  <c r="H6" i="106"/>
  <c r="H15" i="106"/>
  <c r="H27" i="106"/>
  <c r="H7" i="106"/>
  <c r="H24" i="106"/>
  <c r="H8" i="106"/>
  <c r="H17" i="106"/>
  <c r="H9" i="106"/>
  <c r="H18" i="106"/>
  <c r="H26" i="106"/>
  <c r="K13" i="106"/>
  <c r="K38" i="106"/>
  <c r="K30" i="106"/>
  <c r="K20" i="106"/>
  <c r="K28" i="106"/>
  <c r="K12" i="106"/>
  <c r="K21" i="106"/>
  <c r="K29" i="106"/>
  <c r="K5" i="106"/>
  <c r="K22" i="106"/>
  <c r="K19" i="106"/>
  <c r="K6" i="106"/>
  <c r="K15" i="106"/>
  <c r="K23" i="106"/>
  <c r="K27" i="106"/>
  <c r="K7" i="106"/>
  <c r="K24" i="106"/>
  <c r="K10" i="106"/>
  <c r="K8" i="106"/>
  <c r="K17" i="106"/>
  <c r="K25" i="106"/>
  <c r="K9" i="106"/>
  <c r="K18" i="106"/>
  <c r="G4" i="106"/>
  <c r="T36" i="106"/>
  <c r="D5" i="106"/>
  <c r="E5" i="106"/>
  <c r="F5" i="106"/>
  <c r="G5" i="106"/>
  <c r="I5" i="106"/>
  <c r="L5" i="106"/>
  <c r="M5" i="106"/>
  <c r="N5" i="106"/>
  <c r="D6" i="106"/>
  <c r="E6" i="106"/>
  <c r="F6" i="106"/>
  <c r="G6" i="106"/>
  <c r="I6" i="106"/>
  <c r="L6" i="106"/>
  <c r="M6" i="106"/>
  <c r="N6" i="106"/>
  <c r="D7" i="106"/>
  <c r="E7" i="106"/>
  <c r="F7" i="106"/>
  <c r="G7" i="106"/>
  <c r="I7" i="106"/>
  <c r="L7" i="106"/>
  <c r="N7" i="106"/>
  <c r="D8" i="106"/>
  <c r="E8" i="106"/>
  <c r="F8" i="106"/>
  <c r="G8" i="106"/>
  <c r="I8" i="106"/>
  <c r="L8" i="106"/>
  <c r="N8" i="106"/>
  <c r="D9" i="106"/>
  <c r="E9" i="106"/>
  <c r="F9" i="106"/>
  <c r="G9" i="106"/>
  <c r="I9" i="106"/>
  <c r="L9" i="106"/>
  <c r="M9" i="106"/>
  <c r="N9" i="106"/>
  <c r="D10" i="106"/>
  <c r="E10" i="106"/>
  <c r="F10" i="106"/>
  <c r="G10" i="106"/>
  <c r="H10" i="106"/>
  <c r="I10" i="106"/>
  <c r="L10" i="106"/>
  <c r="M10" i="106"/>
  <c r="N10" i="106"/>
  <c r="D11" i="106"/>
  <c r="E11" i="106"/>
  <c r="F11" i="106"/>
  <c r="G11" i="106"/>
  <c r="H11" i="106"/>
  <c r="I11" i="106"/>
  <c r="K11" i="106"/>
  <c r="L11" i="106"/>
  <c r="N11" i="106"/>
  <c r="D12" i="106"/>
  <c r="E12" i="106"/>
  <c r="F12" i="106"/>
  <c r="G12" i="106"/>
  <c r="I12" i="106"/>
  <c r="L12" i="106"/>
  <c r="M12" i="106"/>
  <c r="N12" i="106"/>
  <c r="D13" i="106"/>
  <c r="E13" i="106"/>
  <c r="F13" i="106"/>
  <c r="G13" i="106"/>
  <c r="H13" i="106"/>
  <c r="I13" i="106"/>
  <c r="L13" i="106"/>
  <c r="M13" i="106"/>
  <c r="N13" i="106"/>
  <c r="D14" i="106"/>
  <c r="E14" i="106"/>
  <c r="F14" i="106"/>
  <c r="G14" i="106"/>
  <c r="H14" i="106"/>
  <c r="I14" i="106"/>
  <c r="K14" i="106"/>
  <c r="L14" i="106"/>
  <c r="M14" i="106"/>
  <c r="N14" i="106"/>
  <c r="D15" i="106"/>
  <c r="E15" i="106"/>
  <c r="F15" i="106"/>
  <c r="G15" i="106"/>
  <c r="I15" i="106"/>
  <c r="L15" i="106"/>
  <c r="N15" i="106"/>
  <c r="D16" i="106"/>
  <c r="E16" i="106"/>
  <c r="F16" i="106"/>
  <c r="G16" i="106"/>
  <c r="H16" i="106"/>
  <c r="I16" i="106"/>
  <c r="K16" i="106"/>
  <c r="L16" i="106"/>
  <c r="N16" i="106"/>
  <c r="D17" i="106"/>
  <c r="E17" i="106"/>
  <c r="F17" i="106"/>
  <c r="G17" i="106"/>
  <c r="I17" i="106"/>
  <c r="L17" i="106"/>
  <c r="M17" i="106"/>
  <c r="N17" i="106"/>
  <c r="D18" i="106"/>
  <c r="E18" i="106"/>
  <c r="F18" i="106"/>
  <c r="G18" i="106"/>
  <c r="I18" i="106"/>
  <c r="L18" i="106"/>
  <c r="M18" i="106"/>
  <c r="N18" i="106"/>
  <c r="D19" i="106"/>
  <c r="E19" i="106"/>
  <c r="F19" i="106"/>
  <c r="G19" i="106"/>
  <c r="H19" i="106"/>
  <c r="I19" i="106"/>
  <c r="L19" i="106"/>
  <c r="N19" i="106"/>
  <c r="D20" i="106"/>
  <c r="E20" i="106"/>
  <c r="F20" i="106"/>
  <c r="G20" i="106"/>
  <c r="H20" i="106"/>
  <c r="I20" i="106"/>
  <c r="L20" i="106"/>
  <c r="N20" i="106"/>
  <c r="D21" i="106"/>
  <c r="E21" i="106"/>
  <c r="F21" i="106"/>
  <c r="G21" i="106"/>
  <c r="H21" i="106"/>
  <c r="I21" i="106"/>
  <c r="L21" i="106"/>
  <c r="M21" i="106"/>
  <c r="N21" i="106"/>
  <c r="D22" i="106"/>
  <c r="E22" i="106"/>
  <c r="F22" i="106"/>
  <c r="G22" i="106"/>
  <c r="I22" i="106"/>
  <c r="L22" i="106"/>
  <c r="N22" i="106"/>
  <c r="D23" i="106"/>
  <c r="E23" i="106"/>
  <c r="F23" i="106"/>
  <c r="G23" i="106"/>
  <c r="H23" i="106"/>
  <c r="I23" i="106"/>
  <c r="L23" i="106"/>
  <c r="M23" i="106"/>
  <c r="N23" i="106"/>
  <c r="D24" i="106"/>
  <c r="E24" i="106"/>
  <c r="F24" i="106"/>
  <c r="G24" i="106"/>
  <c r="I24" i="106"/>
  <c r="L24" i="106"/>
  <c r="N24" i="106"/>
  <c r="D25" i="106"/>
  <c r="E25" i="106"/>
  <c r="F25" i="106"/>
  <c r="G25" i="106"/>
  <c r="H25" i="106"/>
  <c r="I25" i="106"/>
  <c r="L25" i="106"/>
  <c r="M25" i="106"/>
  <c r="N25" i="106"/>
  <c r="D26" i="106"/>
  <c r="E26" i="106"/>
  <c r="G26" i="106"/>
  <c r="I26" i="106"/>
  <c r="K26" i="106"/>
  <c r="L26" i="106"/>
  <c r="M26" i="106"/>
  <c r="N26" i="106"/>
  <c r="D27" i="106"/>
  <c r="E27" i="106"/>
  <c r="F27" i="106"/>
  <c r="G27" i="106"/>
  <c r="I27" i="106"/>
  <c r="L27" i="106"/>
  <c r="M27" i="106"/>
  <c r="N27" i="106"/>
  <c r="D28" i="106"/>
  <c r="E28" i="106"/>
  <c r="F28" i="106"/>
  <c r="G28" i="106"/>
  <c r="H28" i="106"/>
  <c r="I28" i="106"/>
  <c r="L28" i="106"/>
  <c r="M28" i="106"/>
  <c r="N28" i="106"/>
  <c r="D29" i="106"/>
  <c r="E29" i="106"/>
  <c r="F29" i="106"/>
  <c r="G29" i="106"/>
  <c r="I29" i="106"/>
  <c r="L29" i="106"/>
  <c r="M29" i="106"/>
  <c r="N29" i="106"/>
  <c r="D30" i="106"/>
  <c r="E30" i="106"/>
  <c r="F30" i="106"/>
  <c r="G30" i="106"/>
  <c r="I30" i="106"/>
  <c r="L30" i="106"/>
  <c r="N30" i="106"/>
  <c r="D31" i="106"/>
  <c r="E31" i="106"/>
  <c r="F31" i="106"/>
  <c r="G31" i="106"/>
  <c r="H31" i="106"/>
  <c r="I31" i="106"/>
  <c r="K31" i="106"/>
  <c r="L31" i="106"/>
  <c r="M31" i="106"/>
  <c r="N31" i="106"/>
  <c r="N4" i="106"/>
  <c r="M4" i="106"/>
  <c r="L4" i="106"/>
  <c r="K4" i="106"/>
  <c r="I4" i="106"/>
  <c r="F4" i="106"/>
  <c r="E4" i="106"/>
  <c r="D4" i="106"/>
  <c r="D34" i="106"/>
  <c r="E34" i="106"/>
  <c r="F34" i="106"/>
  <c r="G34" i="106"/>
  <c r="H34" i="106"/>
  <c r="I34" i="106"/>
  <c r="K34" i="106"/>
  <c r="L34" i="106"/>
  <c r="M34" i="106"/>
  <c r="N34" i="106"/>
  <c r="D35" i="106"/>
  <c r="E35" i="106"/>
  <c r="F35" i="106"/>
  <c r="G35" i="106"/>
  <c r="H35" i="106"/>
  <c r="I35" i="106"/>
  <c r="K35" i="106"/>
  <c r="L35" i="106"/>
  <c r="M35" i="106"/>
  <c r="N35" i="106"/>
  <c r="D36" i="106"/>
  <c r="E36" i="106"/>
  <c r="F36" i="106"/>
  <c r="G36" i="106"/>
  <c r="I36" i="106"/>
  <c r="K36" i="106"/>
  <c r="L36" i="106"/>
  <c r="N36" i="106"/>
  <c r="D37" i="106"/>
  <c r="E37" i="106"/>
  <c r="F37" i="106"/>
  <c r="G37" i="106"/>
  <c r="H37" i="106"/>
  <c r="I37" i="106"/>
  <c r="K37" i="106"/>
  <c r="L37" i="106"/>
  <c r="M37" i="106"/>
  <c r="N37" i="106"/>
  <c r="D38" i="106"/>
  <c r="E38" i="106"/>
  <c r="F38" i="106"/>
  <c r="G38" i="106"/>
  <c r="H38" i="106"/>
  <c r="I38" i="106"/>
  <c r="L38" i="106"/>
  <c r="M38" i="106"/>
  <c r="N38" i="106"/>
  <c r="D39" i="106"/>
  <c r="E39" i="106"/>
  <c r="F39" i="106"/>
  <c r="G39" i="106"/>
  <c r="H39" i="106"/>
  <c r="I39" i="106"/>
  <c r="K39" i="106"/>
  <c r="L39" i="106"/>
  <c r="M39" i="106"/>
  <c r="N39" i="106"/>
  <c r="N33" i="106"/>
  <c r="M33" i="106"/>
  <c r="L33" i="106"/>
  <c r="K33" i="106"/>
  <c r="I33" i="106"/>
  <c r="H33" i="106"/>
  <c r="G33" i="106"/>
  <c r="F33" i="106"/>
  <c r="E33" i="106"/>
  <c r="D33" i="106"/>
  <c r="D44" i="106"/>
  <c r="N48" i="106"/>
  <c r="M48" i="106"/>
  <c r="L48" i="106"/>
  <c r="K48" i="106"/>
  <c r="I48" i="106"/>
  <c r="H48" i="106"/>
  <c r="G48" i="106"/>
  <c r="F48" i="106"/>
  <c r="E48" i="106"/>
  <c r="D48" i="106"/>
  <c r="N47" i="106"/>
  <c r="M47" i="106"/>
  <c r="L47" i="106"/>
  <c r="K47" i="106"/>
  <c r="I47" i="106"/>
  <c r="H47" i="106"/>
  <c r="G47" i="106"/>
  <c r="F47" i="106"/>
  <c r="E47" i="106"/>
  <c r="D47" i="106"/>
  <c r="N46" i="106"/>
  <c r="M46" i="106"/>
  <c r="L46" i="106"/>
  <c r="K46" i="106"/>
  <c r="I46" i="106"/>
  <c r="H46" i="106"/>
  <c r="G46" i="106"/>
  <c r="F46" i="106"/>
  <c r="E46" i="106"/>
  <c r="D46" i="106"/>
  <c r="N45" i="106"/>
  <c r="M45" i="106"/>
  <c r="L45" i="106"/>
  <c r="K45" i="106"/>
  <c r="I45" i="106"/>
  <c r="H45" i="106"/>
  <c r="G45" i="106"/>
  <c r="F45" i="106"/>
  <c r="E45" i="106"/>
  <c r="D45" i="106"/>
  <c r="N44" i="106"/>
  <c r="L44" i="106"/>
  <c r="K44" i="106"/>
  <c r="I44" i="106"/>
  <c r="H44" i="106"/>
  <c r="G44" i="106"/>
  <c r="F44" i="106"/>
  <c r="E44" i="106"/>
  <c r="N43" i="106"/>
  <c r="M43" i="106"/>
  <c r="L43" i="106"/>
  <c r="K43" i="106"/>
  <c r="I43" i="106"/>
  <c r="H43" i="106"/>
  <c r="G43" i="106"/>
  <c r="F43" i="106"/>
  <c r="E43" i="106"/>
  <c r="D43" i="106"/>
  <c r="N42" i="106"/>
  <c r="L42" i="106"/>
  <c r="K42" i="106"/>
  <c r="I42" i="106"/>
  <c r="H42" i="106"/>
  <c r="G42" i="106"/>
  <c r="F42" i="106"/>
  <c r="E42" i="106"/>
  <c r="D42" i="106"/>
  <c r="G40" i="106" l="1"/>
  <c r="D40" i="106"/>
  <c r="E40" i="106"/>
  <c r="I40" i="106"/>
  <c r="J40" i="106"/>
  <c r="M40" i="106"/>
  <c r="F40" i="106"/>
  <c r="N40" i="106"/>
  <c r="H40" i="106"/>
  <c r="L40" i="106"/>
  <c r="C40" i="106"/>
  <c r="K40" i="106"/>
  <c r="O35" i="106"/>
  <c r="O30" i="106"/>
  <c r="O26" i="106"/>
  <c r="O9" i="106"/>
  <c r="O6" i="106"/>
  <c r="O20" i="106"/>
  <c r="O24" i="106"/>
  <c r="O16" i="106"/>
  <c r="O14" i="106"/>
  <c r="O8" i="106"/>
  <c r="O37" i="106"/>
  <c r="O31" i="106"/>
  <c r="O21" i="106"/>
  <c r="O13" i="106"/>
  <c r="O7" i="106"/>
  <c r="O34" i="106"/>
  <c r="O29" i="106"/>
  <c r="O27" i="106"/>
  <c r="O25" i="106"/>
  <c r="O23" i="106"/>
  <c r="O19" i="106"/>
  <c r="O17" i="106"/>
  <c r="O15" i="106"/>
  <c r="O11" i="106"/>
  <c r="O5" i="106"/>
  <c r="O39" i="106"/>
  <c r="O36" i="106"/>
  <c r="O28" i="106"/>
  <c r="Q28" i="106" s="1"/>
  <c r="O22" i="106"/>
  <c r="Q22" i="106" s="1"/>
  <c r="O18" i="106"/>
  <c r="O12" i="106"/>
  <c r="Q12" i="106" s="1"/>
  <c r="O10" i="106"/>
  <c r="O4" i="106"/>
  <c r="Q4" i="106" s="1"/>
  <c r="O33" i="106"/>
  <c r="O44" i="106"/>
  <c r="O42" i="106"/>
  <c r="O43" i="106"/>
  <c r="O47" i="106"/>
  <c r="O46" i="106"/>
  <c r="O45" i="106"/>
  <c r="O48" i="106"/>
  <c r="R11" i="106" l="1"/>
  <c r="Q11" i="106"/>
  <c r="R19" i="106"/>
  <c r="Q19" i="106"/>
  <c r="R24" i="106"/>
  <c r="Q24" i="106"/>
  <c r="R15" i="106"/>
  <c r="Q15" i="106"/>
  <c r="R17" i="106"/>
  <c r="Q17" i="106"/>
  <c r="R10" i="106"/>
  <c r="Q10" i="106"/>
  <c r="R16" i="106"/>
  <c r="Q16" i="106"/>
  <c r="R27" i="106"/>
  <c r="Q27" i="106"/>
  <c r="R20" i="106"/>
  <c r="Q20" i="106"/>
  <c r="R29" i="106"/>
  <c r="Q29" i="106"/>
  <c r="R6" i="106"/>
  <c r="Q6" i="106"/>
  <c r="R25" i="106"/>
  <c r="Q25" i="106"/>
  <c r="R9" i="106"/>
  <c r="Q9" i="106"/>
  <c r="R7" i="106"/>
  <c r="Q7" i="106"/>
  <c r="R26" i="106"/>
  <c r="Q26" i="106"/>
  <c r="R31" i="106"/>
  <c r="Q31" i="106"/>
  <c r="R8" i="106"/>
  <c r="Q8" i="106"/>
  <c r="R14" i="106"/>
  <c r="Q14" i="106"/>
  <c r="R23" i="106"/>
  <c r="Q23" i="106"/>
  <c r="R18" i="106"/>
  <c r="Q18" i="106"/>
  <c r="R13" i="106"/>
  <c r="Q13" i="106"/>
  <c r="R30" i="106"/>
  <c r="Q30" i="106"/>
  <c r="R5" i="106"/>
  <c r="Q5" i="106"/>
  <c r="R21" i="106"/>
  <c r="Q21" i="106"/>
  <c r="R36" i="106"/>
  <c r="W35" i="106" s="1"/>
  <c r="X6" i="106"/>
  <c r="X30" i="106"/>
  <c r="X22" i="106"/>
  <c r="X26" i="106"/>
  <c r="X14" i="106"/>
  <c r="X28" i="106"/>
  <c r="X8" i="106"/>
  <c r="X24" i="106"/>
  <c r="X20" i="106"/>
  <c r="R28" i="106"/>
  <c r="X12" i="106"/>
  <c r="X18" i="106"/>
  <c r="R12" i="106"/>
  <c r="R22" i="106"/>
  <c r="X10" i="106"/>
  <c r="X16" i="106"/>
  <c r="R4" i="106"/>
  <c r="X4" i="106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0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45" i="17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2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3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2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4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6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J12" i="66"/>
  <c r="J11" i="66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1"/>
  <c r="M43" i="22"/>
  <c r="M43" i="23"/>
  <c r="M43" i="24"/>
  <c r="M43" i="25"/>
  <c r="M43" i="26"/>
  <c r="M43" i="27"/>
  <c r="M43" i="28"/>
  <c r="M43" i="57"/>
  <c r="M43" i="58"/>
  <c r="M43" i="59"/>
  <c r="M43" i="60"/>
  <c r="M43" i="61"/>
  <c r="M43" i="62"/>
  <c r="M43" i="63"/>
  <c r="M43" i="64"/>
  <c r="M43" i="65"/>
  <c r="M43" i="66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H48" i="2" l="1"/>
  <c r="H47" i="2"/>
  <c r="H49" i="2"/>
  <c r="H39" i="2"/>
  <c r="H46" i="2"/>
  <c r="H45" i="2"/>
  <c r="H43" i="2"/>
  <c r="H38" i="2"/>
  <c r="H44" i="2"/>
  <c r="J34" i="22"/>
  <c r="J34" i="24"/>
  <c r="H37" i="2"/>
  <c r="H34" i="2"/>
  <c r="H36" i="2"/>
  <c r="H35" i="2"/>
  <c r="J34" i="58"/>
  <c r="J34" i="60"/>
  <c r="J34" i="64"/>
  <c r="J34" i="72"/>
  <c r="J34" i="74"/>
  <c r="J34" i="76"/>
  <c r="J34" i="78"/>
  <c r="J34" i="95"/>
  <c r="H31" i="2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H13" i="2" s="1"/>
  <c r="M46" i="17"/>
  <c r="H40" i="2" s="1"/>
  <c r="H30" i="2"/>
  <c r="H11" i="2"/>
  <c r="H20" i="2"/>
  <c r="H28" i="2"/>
  <c r="H4" i="2"/>
  <c r="H12" i="2"/>
  <c r="H21" i="2"/>
  <c r="H29" i="2"/>
  <c r="H5" i="2"/>
  <c r="H14" i="2"/>
  <c r="H22" i="2"/>
  <c r="H19" i="2"/>
  <c r="H6" i="2"/>
  <c r="H15" i="2"/>
  <c r="H23" i="2"/>
  <c r="H27" i="2"/>
  <c r="H7" i="2"/>
  <c r="H16" i="2"/>
  <c r="H24" i="2"/>
  <c r="H10" i="2"/>
  <c r="H8" i="2"/>
  <c r="H17" i="2"/>
  <c r="H25" i="2"/>
  <c r="H9" i="2"/>
  <c r="H18" i="2"/>
  <c r="H26" i="2"/>
  <c r="J34" i="17"/>
</calcChain>
</file>

<file path=xl/sharedStrings.xml><?xml version="1.0" encoding="utf-8"?>
<sst xmlns="http://schemas.openxmlformats.org/spreadsheetml/2006/main" count="3336" uniqueCount="161">
  <si>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</si>
  <si>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</si>
  <si>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</si>
  <si>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</si>
  <si>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</si>
  <si>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</si>
  <si>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</si>
  <si>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</si>
  <si>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</si>
  <si>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</si>
  <si>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</si>
  <si>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</si>
  <si>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</si>
  <si>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</si>
  <si>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</si>
  <si>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</si>
  <si>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METIER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</si>
  <si>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</si>
  <si>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</si>
  <si>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</si>
  <si>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</si>
  <si>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</si>
  <si>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</si>
  <si>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</si>
  <si>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</si>
  <si>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</si>
  <si>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</si>
  <si>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</si>
  <si>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</si>
  <si>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06</t>
  </si>
  <si>
    <t>08</t>
  </si>
  <si>
    <t>07</t>
  </si>
  <si>
    <t>09</t>
  </si>
  <si>
    <t>17</t>
  </si>
  <si>
    <t>24</t>
  </si>
  <si>
    <t>22</t>
  </si>
  <si>
    <t>23</t>
  </si>
  <si>
    <t>CMN</t>
  </si>
  <si>
    <t>ENSEMBLE PH</t>
  </si>
  <si>
    <t>14B</t>
  </si>
  <si>
    <t>14H</t>
  </si>
  <si>
    <t>15B</t>
  </si>
  <si>
    <t>15H</t>
  </si>
  <si>
    <t>16B</t>
  </si>
  <si>
    <t>16H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</si>
  <si>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</si>
  <si>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</si>
  <si>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</si>
  <si>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</si>
  <si>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</si>
  <si>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</si>
  <si>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</si>
  <si>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</si>
  <si>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</si>
  <si>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</si>
  <si>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</si>
  <si>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</si>
  <si>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</si>
  <si>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</si>
  <si>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</si>
  <si>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</si>
  <si>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</si>
  <si>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</si>
  <si>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</si>
  <si>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</si>
  <si>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</si>
  <si>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</si>
  <si>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</si>
  <si>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</si>
  <si>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</si>
  <si>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</si>
  <si>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</si>
  <si>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</si>
  <si>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</si>
  <si>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</si>
  <si>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</si>
  <si>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</si>
  <si>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</si>
  <si>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</si>
  <si>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</si>
  <si>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</si>
  <si>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</si>
  <si>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</si>
  <si>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</si>
  <si>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</si>
  <si>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</si>
  <si>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</si>
  <si>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</si>
  <si>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</si>
  <si>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</si>
  <si>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</si>
  <si>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</si>
  <si>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</si>
  <si>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</si>
  <si>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</si>
  <si>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</si>
  <si>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</si>
  <si>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</si>
  <si>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</si>
  <si>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</si>
  <si>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</si>
  <si>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</si>
  <si>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</si>
  <si>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</si>
  <si>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</si>
  <si>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</si>
  <si>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</si>
  <si>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</si>
  <si>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</si>
  <si>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</si>
  <si>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</si>
  <si>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</si>
  <si>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</si>
  <si>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</si>
  <si>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COLLABORATEURS</t>
  </si>
  <si>
    <t>Prénom - NOM</t>
  </si>
  <si>
    <t>Collaborateurs Actif</t>
  </si>
  <si>
    <t>Copie du fichier</t>
  </si>
  <si>
    <t xml:space="preserve">Emplacement du futur fichier : </t>
  </si>
  <si>
    <t xml:space="preserve">Emplacement du fihcier source : </t>
  </si>
  <si>
    <t>\\AGIR\BE-Lorient\Administratif\Gestion personnel\Pointages\Suivi heures\OLD\</t>
  </si>
  <si>
    <t>SYNTHESE SEMAINE</t>
  </si>
  <si>
    <t>MISE EN DONNEE</t>
  </si>
  <si>
    <t>ACTION ADMINISTRATEUR</t>
  </si>
  <si>
    <t>SYNTHESE PROJET COLLABORATEUR</t>
  </si>
  <si>
    <t>TOTAL COLLABORATEURS</t>
  </si>
  <si>
    <t>AUTRE</t>
  </si>
  <si>
    <t>SYNTHESE ENSEMBLE CMN</t>
  </si>
  <si>
    <t>SDD</t>
  </si>
  <si>
    <t>INDUS</t>
  </si>
  <si>
    <t>SYNTHESE FONCTION CMN</t>
  </si>
  <si>
    <t>STRUCTURE</t>
  </si>
  <si>
    <t>SYNTHESE FONCTION AUTRE</t>
  </si>
  <si>
    <t>Brigitte VELLY</t>
  </si>
  <si>
    <t>Jean-Marie COLONNE</t>
  </si>
  <si>
    <t>Martin BERTHO</t>
  </si>
  <si>
    <t>Olivier GONSE</t>
  </si>
  <si>
    <t>Philippe HAYS</t>
  </si>
  <si>
    <t>Pierre GRAFFION</t>
  </si>
  <si>
    <t>Sébastien LAROSE-BLIN</t>
  </si>
  <si>
    <t>Tanguy MONFORT</t>
  </si>
  <si>
    <t>Yohann JAFFREDO</t>
  </si>
  <si>
    <t>Jean-Michel GOURLAN</t>
  </si>
  <si>
    <t>Alexandra VAUGRENARD</t>
  </si>
  <si>
    <t>Philippe LE MESTRE</t>
  </si>
  <si>
    <t>PANNE INFORMATIQUE</t>
  </si>
  <si>
    <t>ATTENTE</t>
  </si>
  <si>
    <t>TOTAL 
PREVU</t>
  </si>
  <si>
    <t>PROGRESSION DETAILEE</t>
  </si>
  <si>
    <t>PROGRESSION BLOC</t>
  </si>
  <si>
    <t>TOTAL PROJET</t>
  </si>
  <si>
    <t>TOTAL COLLABORATEUR</t>
  </si>
  <si>
    <t>PROGRESSON PROJET</t>
  </si>
  <si>
    <t>ABSENT</t>
  </si>
  <si>
    <t>Dépassement</t>
  </si>
  <si>
    <t>Baptiste LE CALVAR</t>
  </si>
  <si>
    <t>Alexandre MEDYNSKI</t>
  </si>
  <si>
    <t xml:space="preserve">Avenants </t>
  </si>
  <si>
    <t>Ecubiers</t>
  </si>
  <si>
    <t>Modif puits aux chaines</t>
  </si>
  <si>
    <t>Avenant outil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</si>
</sst>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201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/>
    <xf numFmtId="0" fontId="0" fillId="0" borderId="20" xfId="0" applyBorder="1"/>
    <xf numFmtId="0" fontId="1" fillId="0" borderId="15" xfId="0" applyFont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left" vertical="center"/>
    </xf>
    <xf numFmtId="0" fontId="1" fillId="0" borderId="39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1" fillId="0" borderId="37" xfId="0" applyFont="1" applyBorder="1" applyAlignment="1">
      <alignment horizontal="left"/>
    </xf>
    <xf numFmtId="0" fontId="0" fillId="0" borderId="39" xfId="0" applyBorder="1"/>
    <xf numFmtId="0" fontId="0" fillId="0" borderId="38" xfId="0" applyBorder="1"/>
    <xf numFmtId="0" fontId="0" fillId="0" borderId="36" xfId="0" applyBorder="1"/>
    <xf numFmtId="0" fontId="0" fillId="0" borderId="40" xfId="0" applyBorder="1"/>
    <xf numFmtId="0" fontId="0" fillId="0" borderId="37" xfId="0" applyBorder="1"/>
    <xf numFmtId="0" fontId="4" fillId="0" borderId="41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2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4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" fillId="0" borderId="45" xfId="0" applyFont="1" applyBorder="1" applyAlignment="1">
      <alignment horizontal="center" vertical="center" wrapText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2" xfId="0" applyBorder="1" applyAlignment="1" applyProtection="1">
      <alignment horizontal="center" vertical="center"/>
      <protection hidden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8" xfId="0" applyBorder="1" applyAlignment="1" applyProtection="1">
      <alignment horizontal="center" vertical="center"/>
      <protection hidden="1"/>
    </xf>
    <xf numFmtId="0" fontId="0" fillId="0" borderId="5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49" fontId="0" fillId="0" borderId="60" xfId="0" applyNumberFormat="1" applyBorder="1" applyAlignment="1">
      <alignment horizontal="center"/>
    </xf>
    <xf numFmtId="49" fontId="1" fillId="0" borderId="15" xfId="0" applyNumberFormat="1" applyFont="1" applyBorder="1" applyAlignment="1">
      <alignment horizontal="left"/>
    </xf>
    <xf numFmtId="0" fontId="0" fillId="0" borderId="3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38" xfId="0" applyFont="1" applyBorder="1" applyAlignment="1" applyProtection="1">
      <alignment horizontal="center" vertical="center"/>
      <protection hidden="1"/>
    </xf>
    <xf numFmtId="0" fontId="1" fillId="0" borderId="23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17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/>
    <xf numFmtId="0" fontId="0" fillId="0" borderId="5" xfId="0" applyBorder="1" applyAlignment="1" applyProtection="1">
      <alignment horizontal="center" vertical="center"/>
      <protection hidden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7" xfId="0" applyBorder="1" applyAlignment="1">
      <alignment wrapText="1"/>
    </xf>
    <xf numFmtId="0" fontId="0" fillId="0" borderId="43" xfId="0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/>
    </xf>
    <xf numFmtId="9" fontId="0" fillId="0" borderId="21" xfId="2" applyFont="1" applyBorder="1" applyAlignment="1">
      <alignment horizontal="center"/>
    </xf>
    <xf numFmtId="9" fontId="0" fillId="0" borderId="49" xfId="2" applyFont="1" applyBorder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50" xfId="2" applyFont="1" applyBorder="1" applyAlignment="1">
      <alignment horizontal="center" vertical="center"/>
    </xf>
    <xf numFmtId="9" fontId="0" fillId="0" borderId="51" xfId="2" applyFont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9" fontId="0" fillId="0" borderId="57" xfId="2" applyFont="1" applyBorder="1" applyAlignment="1">
      <alignment horizontal="center" vertical="center"/>
    </xf>
    <xf numFmtId="9" fontId="0" fillId="0" borderId="40" xfId="2" applyFont="1" applyBorder="1" applyAlignment="1">
      <alignment horizontal="center" vertical="center"/>
    </xf>
    <xf numFmtId="9" fontId="0" fillId="0" borderId="37" xfId="2" applyFont="1" applyBorder="1" applyAlignment="1">
      <alignment horizontal="center" vertical="center"/>
    </xf>
    <xf numFmtId="9" fontId="0" fillId="0" borderId="55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44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9" fontId="0" fillId="0" borderId="34" xfId="2" applyFont="1" applyBorder="1" applyAlignment="1">
      <alignment horizontal="center" vertical="center"/>
    </xf>
    <xf numFmtId="9" fontId="0" fillId="0" borderId="36" xfId="2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</cellXfs>
  <cellStyles count="3">
    <cellStyle name="Lien hypertexte" xfId="1" builtinId="8"/>
    <cellStyle name="Normal" xfId="0" builtinId="0"/>
    <cellStyle name="Pourcentage" xfId="2" builtinId="5"/>
  </cellStyles>
  <dxfs count="4">
    <dxf>
      <fill>
        <patternFill>
          <bgColor rgb="FFCCCCFF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CCCCFF"/>
      <color rgb="FFDEFAD2"/>
      <color rgb="FFCCFFFF"/>
      <color rgb="FFEED57A"/>
      <color rgb="FFFF8181"/>
      <color rgb="FFFFFF99"/>
      <color rgb="FFCC99FF"/>
      <color rgb="FF3399FF"/>
      <color rgb="FFFFCC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8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3.xml"/><Relationship Id="rId66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64" Type="http://schemas.openxmlformats.org/officeDocument/2006/relationships/externalLink" Target="externalLinks/externalLink9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4.xml"/><Relationship Id="rId67" Type="http://schemas.openxmlformats.org/officeDocument/2006/relationships/externalLink" Target="externalLinks/externalLink1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7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5.xml"/><Relationship Id="rId65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METIER CMN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 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E2-4856-95D7-A4DFB88DE844}"/>
              </c:ext>
            </c:extLst>
          </c:dPt>
          <c:dPt>
            <c:idx val="1"/>
            <c:bubble3D val="0"/>
            <c:spPr>
              <a:solidFill>
                <a:srgbClr val="EED57A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E2-4856-95D7-A4DFB88DE844}"/>
              </c:ext>
            </c:extLst>
          </c:dPt>
          <c:dPt>
            <c:idx val="2"/>
            <c:bubble3D val="0"/>
            <c:spPr>
              <a:solidFill>
                <a:srgbClr val="DEFAD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E2-4856-95D7-A4DFB88DE844}"/>
              </c:ext>
            </c:extLst>
          </c:dPt>
          <c:dPt>
            <c:idx val="3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E2-4856-95D7-A4DFB88DE844}"/>
              </c:ext>
            </c:extLst>
          </c:dPt>
          <c:dPt>
            <c:idx val="4"/>
            <c:bubble3D val="0"/>
            <c:spPr>
              <a:solidFill>
                <a:srgbClr val="FF66C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E2-4856-95D7-A4DFB88DE844}"/>
              </c:ext>
            </c:extLst>
          </c:dPt>
          <c:dPt>
            <c:idx val="5"/>
            <c:bubble3D val="0"/>
            <c:spPr>
              <a:solidFill>
                <a:srgbClr val="FF818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E2-4856-95D7-A4DFB88DE844}"/>
              </c:ext>
            </c:extLst>
          </c:dPt>
          <c:dPt>
            <c:idx val="6"/>
            <c:bubble3D val="0"/>
            <c:spPr>
              <a:solidFill>
                <a:srgbClr val="CC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E2-4856-95D7-A4DFB88DE8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BILAN!$B$33:$B$39</c:f>
              <c:strCache>
                <c:ptCount val="7"/>
                <c:pt idx="0">
                  <c:v>FORMATION</c:v>
                </c:pt>
                <c:pt idx="1">
                  <c:v>GESTION PROJET</c:v>
                </c:pt>
                <c:pt idx="2">
                  <c:v>REUNION</c:v>
                </c:pt>
                <c:pt idx="3">
                  <c:v>STRUCTURE </c:v>
                </c:pt>
                <c:pt idx="4">
                  <c:v>CARLINGAGE</c:v>
                </c:pt>
                <c:pt idx="5">
                  <c:v>PANNE INFORMATIQUE</c:v>
                </c:pt>
                <c:pt idx="6">
                  <c:v>ATTENTE</c:v>
                </c:pt>
              </c:strCache>
            </c:strRef>
          </c:cat>
          <c:val>
            <c:numRef>
              <c:f>BILAN!$O$33:$O$39</c:f>
              <c:numCache>
                <c:formatCode>General</c:formatCode>
                <c:ptCount val="7"/>
                <c:pt idx="0">
                  <c:v>127.75</c:v>
                </c:pt>
                <c:pt idx="1">
                  <c:v>405.5</c:v>
                </c:pt>
                <c:pt idx="2">
                  <c:v>60</c:v>
                </c:pt>
                <c:pt idx="3">
                  <c:v>7310.4100000000008</c:v>
                </c:pt>
                <c:pt idx="4">
                  <c:v>0</c:v>
                </c:pt>
                <c:pt idx="5">
                  <c:v>102</c:v>
                </c:pt>
                <c:pt idx="6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E2-4856-95D7-A4DFB88DE8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30671166104221"/>
          <c:y val="0.37424117439865467"/>
          <c:w val="0.15274090738657667"/>
          <c:h val="0.3409114769744691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742496</xdr:colOff>
      <xdr:row>37</xdr:row>
      <xdr:rowOff>1360</xdr:rowOff>
    </xdr:from>
    <xdr:to>
      <xdr:col>28</xdr:col>
      <xdr:colOff>132896</xdr:colOff>
      <xdr:row>60</xdr:row>
      <xdr:rowOff>134710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</xdr:row>
          <xdr:rowOff>28575</xdr:rowOff>
        </xdr:from>
        <xdr:to>
          <xdr:col>13</xdr:col>
          <xdr:colOff>9525</xdr:colOff>
          <xdr:row>3</xdr:row>
          <xdr:rowOff>9525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 NOM 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5</xdr:row>
          <xdr:rowOff>38100</xdr:rowOff>
        </xdr:from>
        <xdr:to>
          <xdr:col>13</xdr:col>
          <xdr:colOff>0</xdr:colOff>
          <xdr:row>7</xdr:row>
          <xdr:rowOff>66675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10</xdr:row>
          <xdr:rowOff>66675</xdr:rowOff>
        </xdr:from>
        <xdr:to>
          <xdr:col>12</xdr:col>
          <xdr:colOff>1714500</xdr:colOff>
          <xdr:row>12</xdr:row>
          <xdr:rowOff>142875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1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EVEROUILLER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15</xdr:row>
          <xdr:rowOff>66675</xdr:rowOff>
        </xdr:from>
        <xdr:to>
          <xdr:col>12</xdr:col>
          <xdr:colOff>1714500</xdr:colOff>
          <xdr:row>17</xdr:row>
          <xdr:rowOff>142875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1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VEROUILLER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s-agir-lorien\agir-lorient\BE-Lorient\Administratif\Gestion%20personnel\Pointages\Suivi%20heures%20CMN\Baptiste%20LE%20CALVAR.xlsm" TargetMode="External"/><Relationship Id="rId1" Type="http://schemas.openxmlformats.org/officeDocument/2006/relationships/externalLinkPath" Target="Baptiste%20LE%20CALV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rigitte%20VEL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Jean-Marie%20COLONN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artin%20BERTHO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Olivier%20GONS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hilippe%20HAY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hilippe%20LE%20MESTR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Alexandre%20MEDYNSKI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S&#233;bastien%20LAROSE-BLIN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s-agir-lorien\agir-lorient\BE-Lorient\Administratif\Gestion%20personnel\Pointages\Suivi%20heures%20CMN\Tanguy%20MONTFORT.xlsm" TargetMode="External"/><Relationship Id="rId1" Type="http://schemas.openxmlformats.org/officeDocument/2006/relationships/externalLinkPath" Target="Tanguy%20MONTFOR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Yohann%20JAFFRED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Jean-Michel%20GOUR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3</v>
          </cell>
        </row>
        <row r="9">
          <cell r="H9">
            <v>153</v>
          </cell>
        </row>
        <row r="10">
          <cell r="H10">
            <v>0</v>
          </cell>
        </row>
        <row r="11">
          <cell r="H11">
            <v>197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37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222</v>
          </cell>
        </row>
        <row r="34">
          <cell r="H34">
            <v>0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608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0</v>
          </cell>
        </row>
        <row r="11">
          <cell r="H11">
            <v>0</v>
          </cell>
        </row>
        <row r="12">
          <cell r="H12">
            <v>4.5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213</v>
          </cell>
        </row>
        <row r="21">
          <cell r="H21">
            <v>390</v>
          </cell>
        </row>
        <row r="22">
          <cell r="H22">
            <v>102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163.75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88</v>
          </cell>
        </row>
        <row r="30">
          <cell r="H30">
            <v>0</v>
          </cell>
        </row>
        <row r="31">
          <cell r="H31">
            <v>4.5</v>
          </cell>
        </row>
        <row r="34">
          <cell r="H34">
            <v>4.5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960.25</v>
          </cell>
        </row>
        <row r="38">
          <cell r="H38">
            <v>0</v>
          </cell>
        </row>
        <row r="39">
          <cell r="H39">
            <v>42</v>
          </cell>
        </row>
        <row r="40">
          <cell r="H40">
            <v>6.5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241.75</v>
          </cell>
        </row>
        <row r="7">
          <cell r="H7">
            <v>306.75</v>
          </cell>
        </row>
        <row r="8">
          <cell r="H8">
            <v>8</v>
          </cell>
        </row>
        <row r="9">
          <cell r="H9">
            <v>0</v>
          </cell>
        </row>
        <row r="10">
          <cell r="H10">
            <v>0</v>
          </cell>
        </row>
        <row r="11">
          <cell r="H11">
            <v>231.5</v>
          </cell>
        </row>
        <row r="12">
          <cell r="H12">
            <v>0</v>
          </cell>
        </row>
        <row r="13">
          <cell r="H13">
            <v>17.5</v>
          </cell>
        </row>
        <row r="14">
          <cell r="H14">
            <v>0</v>
          </cell>
        </row>
        <row r="15">
          <cell r="H15">
            <v>62.5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34.5</v>
          </cell>
        </row>
        <row r="26">
          <cell r="H26">
            <v>0</v>
          </cell>
        </row>
        <row r="27">
          <cell r="H27">
            <v>34</v>
          </cell>
        </row>
        <row r="28">
          <cell r="H28">
            <v>0</v>
          </cell>
        </row>
        <row r="29">
          <cell r="H29">
            <v>21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3</v>
          </cell>
        </row>
        <row r="35">
          <cell r="H35">
            <v>0</v>
          </cell>
        </row>
        <row r="36">
          <cell r="H36">
            <v>2.5</v>
          </cell>
        </row>
        <row r="37">
          <cell r="H37">
            <v>956.5</v>
          </cell>
        </row>
        <row r="38">
          <cell r="H38">
            <v>0</v>
          </cell>
        </row>
        <row r="39">
          <cell r="H39">
            <v>1.5</v>
          </cell>
        </row>
        <row r="40">
          <cell r="H40">
            <v>6.5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1.5</v>
          </cell>
        </row>
        <row r="49">
          <cell r="H49">
            <v>74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7</v>
          </cell>
        </row>
        <row r="5">
          <cell r="H5">
            <v>0</v>
          </cell>
        </row>
        <row r="6">
          <cell r="H6">
            <v>20.5</v>
          </cell>
        </row>
        <row r="7">
          <cell r="H7">
            <v>50.75</v>
          </cell>
        </row>
        <row r="8">
          <cell r="H8">
            <v>0</v>
          </cell>
        </row>
        <row r="9">
          <cell r="H9">
            <v>66</v>
          </cell>
        </row>
        <row r="10">
          <cell r="H10">
            <v>8.25</v>
          </cell>
        </row>
        <row r="11">
          <cell r="H11">
            <v>0</v>
          </cell>
        </row>
        <row r="12">
          <cell r="H12">
            <v>121.625</v>
          </cell>
        </row>
        <row r="13">
          <cell r="H13">
            <v>9.9</v>
          </cell>
        </row>
        <row r="14">
          <cell r="H14">
            <v>80.625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66.39</v>
          </cell>
        </row>
        <row r="18">
          <cell r="H18">
            <v>0</v>
          </cell>
        </row>
        <row r="19">
          <cell r="H19">
            <v>49.7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7.4</v>
          </cell>
        </row>
        <row r="24">
          <cell r="H24">
            <v>12.25</v>
          </cell>
        </row>
        <row r="25">
          <cell r="H25">
            <v>0</v>
          </cell>
        </row>
        <row r="26">
          <cell r="H26">
            <v>5.25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55.75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418.65999999999997</v>
          </cell>
        </row>
        <row r="38">
          <cell r="H38">
            <v>0</v>
          </cell>
        </row>
        <row r="39">
          <cell r="H39">
            <v>30.75</v>
          </cell>
        </row>
        <row r="40">
          <cell r="H40">
            <v>0</v>
          </cell>
        </row>
        <row r="43">
          <cell r="H43">
            <v>5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20.5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0</v>
          </cell>
        </row>
        <row r="11">
          <cell r="H11">
            <v>0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16.5</v>
          </cell>
        </row>
        <row r="17">
          <cell r="H17">
            <v>0</v>
          </cell>
        </row>
        <row r="18">
          <cell r="H18">
            <v>14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414.05</v>
          </cell>
        </row>
        <row r="25">
          <cell r="H25">
            <v>387.4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32</v>
          </cell>
        </row>
        <row r="30">
          <cell r="H30">
            <v>0</v>
          </cell>
        </row>
        <row r="31">
          <cell r="H31">
            <v>34.6</v>
          </cell>
        </row>
        <row r="34">
          <cell r="H34">
            <v>0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898.55000000000007</v>
          </cell>
        </row>
        <row r="38">
          <cell r="H38">
            <v>0</v>
          </cell>
        </row>
        <row r="39">
          <cell r="H39">
            <v>2.75</v>
          </cell>
        </row>
        <row r="40">
          <cell r="H40">
            <v>6.5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74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398</v>
          </cell>
        </row>
        <row r="11">
          <cell r="H11">
            <v>0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58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340</v>
          </cell>
        </row>
        <row r="38">
          <cell r="H38">
            <v>0</v>
          </cell>
        </row>
        <row r="39">
          <cell r="H39">
            <v>3</v>
          </cell>
        </row>
        <row r="40">
          <cell r="H40">
            <v>6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366.95</v>
          </cell>
        </row>
        <row r="5">
          <cell r="H5">
            <v>375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0</v>
          </cell>
        </row>
        <row r="11">
          <cell r="H11">
            <v>0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12.2</v>
          </cell>
        </row>
        <row r="18">
          <cell r="H18">
            <v>0</v>
          </cell>
        </row>
        <row r="19">
          <cell r="H19">
            <v>12.4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114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0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841.55</v>
          </cell>
        </row>
        <row r="38">
          <cell r="H38">
            <v>0</v>
          </cell>
        </row>
        <row r="39">
          <cell r="H39">
            <v>2</v>
          </cell>
        </row>
        <row r="40">
          <cell r="H40">
            <v>0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2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0</v>
          </cell>
        </row>
        <row r="11">
          <cell r="H11">
            <v>0</v>
          </cell>
        </row>
        <row r="12">
          <cell r="H12">
            <v>0</v>
          </cell>
        </row>
        <row r="13">
          <cell r="H13">
            <v>131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110.5</v>
          </cell>
        </row>
        <row r="27">
          <cell r="H27">
            <v>36.799999999999997</v>
          </cell>
        </row>
        <row r="28">
          <cell r="H28">
            <v>134.5</v>
          </cell>
        </row>
        <row r="29">
          <cell r="H29">
            <v>0</v>
          </cell>
        </row>
        <row r="30">
          <cell r="H30">
            <v>88</v>
          </cell>
        </row>
        <row r="31">
          <cell r="H31">
            <v>12</v>
          </cell>
        </row>
        <row r="34">
          <cell r="H34">
            <v>0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512.79999999999995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10</v>
          </cell>
        </row>
        <row r="5">
          <cell r="H5">
            <v>0</v>
          </cell>
        </row>
        <row r="6">
          <cell r="H6">
            <v>32</v>
          </cell>
        </row>
        <row r="7">
          <cell r="H7">
            <v>12</v>
          </cell>
        </row>
        <row r="8">
          <cell r="H8">
            <v>4</v>
          </cell>
        </row>
        <row r="9">
          <cell r="H9">
            <v>0</v>
          </cell>
        </row>
        <row r="10">
          <cell r="H10">
            <v>8</v>
          </cell>
        </row>
        <row r="11">
          <cell r="H11">
            <v>26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4</v>
          </cell>
        </row>
        <row r="23">
          <cell r="H23">
            <v>0</v>
          </cell>
        </row>
        <row r="24">
          <cell r="H24">
            <v>34.5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39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3</v>
          </cell>
        </row>
        <row r="35">
          <cell r="H35">
            <v>402.5</v>
          </cell>
        </row>
        <row r="36">
          <cell r="H36">
            <v>20.5</v>
          </cell>
        </row>
        <row r="37">
          <cell r="H37">
            <v>169.5</v>
          </cell>
        </row>
        <row r="38">
          <cell r="H38">
            <v>0</v>
          </cell>
        </row>
        <row r="39">
          <cell r="H39">
            <v>9.5</v>
          </cell>
        </row>
        <row r="40">
          <cell r="H40">
            <v>6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8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74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12.5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163.69999999999999</v>
          </cell>
        </row>
        <row r="11">
          <cell r="H11">
            <v>38.5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159.1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0</v>
          </cell>
        </row>
        <row r="35">
          <cell r="H35">
            <v>3</v>
          </cell>
        </row>
        <row r="36">
          <cell r="H36">
            <v>36</v>
          </cell>
        </row>
        <row r="37">
          <cell r="H37">
            <v>337.8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3">
          <cell r="H43">
            <v>0</v>
          </cell>
        </row>
        <row r="44">
          <cell r="H44">
            <v>10</v>
          </cell>
        </row>
        <row r="45">
          <cell r="H45">
            <v>2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3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3</v>
          </cell>
        </row>
        <row r="11">
          <cell r="H11">
            <v>4</v>
          </cell>
        </row>
        <row r="12">
          <cell r="H12">
            <v>1.5</v>
          </cell>
        </row>
        <row r="13">
          <cell r="H13">
            <v>0</v>
          </cell>
        </row>
        <row r="14">
          <cell r="H14">
            <v>4</v>
          </cell>
        </row>
        <row r="15">
          <cell r="H15">
            <v>91</v>
          </cell>
        </row>
        <row r="16">
          <cell r="H16">
            <v>107</v>
          </cell>
        </row>
        <row r="17">
          <cell r="H17">
            <v>57.5</v>
          </cell>
        </row>
        <row r="18">
          <cell r="H18">
            <v>0</v>
          </cell>
        </row>
        <row r="19">
          <cell r="H19">
            <v>52.5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157</v>
          </cell>
        </row>
        <row r="23">
          <cell r="H23">
            <v>360.5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30</v>
          </cell>
        </row>
        <row r="28">
          <cell r="H28">
            <v>0</v>
          </cell>
        </row>
        <row r="29">
          <cell r="H29">
            <v>42</v>
          </cell>
        </row>
        <row r="30">
          <cell r="H30">
            <v>0</v>
          </cell>
        </row>
        <row r="31">
          <cell r="H31">
            <v>42</v>
          </cell>
        </row>
        <row r="34">
          <cell r="H34">
            <v>0</v>
          </cell>
        </row>
        <row r="35">
          <cell r="H35">
            <v>0</v>
          </cell>
        </row>
        <row r="36">
          <cell r="H36">
            <v>0</v>
          </cell>
        </row>
        <row r="37">
          <cell r="H37">
            <v>985</v>
          </cell>
        </row>
        <row r="38">
          <cell r="H38">
            <v>0</v>
          </cell>
        </row>
        <row r="39">
          <cell r="H39">
            <v>8</v>
          </cell>
        </row>
        <row r="40">
          <cell r="H40">
            <v>0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/>
      <sheetData sheetId="1">
        <row r="4">
          <cell r="H4">
            <v>0</v>
          </cell>
        </row>
        <row r="5">
          <cell r="H5">
            <v>0</v>
          </cell>
        </row>
        <row r="6">
          <cell r="H6">
            <v>0</v>
          </cell>
        </row>
        <row r="7">
          <cell r="H7">
            <v>0</v>
          </cell>
        </row>
        <row r="8">
          <cell r="H8">
            <v>260.3</v>
          </cell>
        </row>
        <row r="9">
          <cell r="H9">
            <v>21.5</v>
          </cell>
        </row>
        <row r="10">
          <cell r="H10">
            <v>0</v>
          </cell>
        </row>
        <row r="11">
          <cell r="H11">
            <v>0</v>
          </cell>
        </row>
        <row r="12">
          <cell r="H12">
            <v>0</v>
          </cell>
        </row>
        <row r="13">
          <cell r="H13">
            <v>0</v>
          </cell>
        </row>
        <row r="14">
          <cell r="H14">
            <v>0</v>
          </cell>
        </row>
        <row r="15">
          <cell r="H15">
            <v>0</v>
          </cell>
        </row>
        <row r="16">
          <cell r="H16">
            <v>0</v>
          </cell>
        </row>
        <row r="17">
          <cell r="H17">
            <v>0</v>
          </cell>
        </row>
        <row r="18">
          <cell r="H18">
            <v>0</v>
          </cell>
        </row>
        <row r="19">
          <cell r="H19">
            <v>0</v>
          </cell>
        </row>
        <row r="20">
          <cell r="H20">
            <v>0</v>
          </cell>
        </row>
        <row r="21">
          <cell r="H21">
            <v>0</v>
          </cell>
        </row>
        <row r="22">
          <cell r="H22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H25">
            <v>0</v>
          </cell>
        </row>
        <row r="26">
          <cell r="H26">
            <v>0</v>
          </cell>
        </row>
        <row r="27">
          <cell r="H27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</v>
          </cell>
        </row>
        <row r="34">
          <cell r="H34">
            <v>3.5</v>
          </cell>
        </row>
        <row r="35">
          <cell r="H35">
            <v>0</v>
          </cell>
        </row>
        <row r="36">
          <cell r="H36">
            <v>1</v>
          </cell>
        </row>
        <row r="37">
          <cell r="H37">
            <v>281.8</v>
          </cell>
        </row>
        <row r="38">
          <cell r="H38">
            <v>0</v>
          </cell>
        </row>
        <row r="39">
          <cell r="H39">
            <v>2.5</v>
          </cell>
        </row>
        <row r="40">
          <cell r="H40">
            <v>6.5</v>
          </cell>
        </row>
        <row r="43">
          <cell r="H43">
            <v>0</v>
          </cell>
        </row>
        <row r="44">
          <cell r="H44">
            <v>0</v>
          </cell>
        </row>
        <row r="45">
          <cell r="H45">
            <v>0</v>
          </cell>
        </row>
        <row r="46">
          <cell r="H46">
            <v>0</v>
          </cell>
        </row>
        <row r="47">
          <cell r="H47">
            <v>0</v>
          </cell>
        </row>
        <row r="48">
          <cell r="H48">
            <v>0</v>
          </cell>
        </row>
        <row r="49">
          <cell r="H49">
            <v>51.8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OLD/" TargetMode="External"/><Relationship Id="rId1" Type="http://schemas.openxmlformats.org/officeDocument/2006/relationships/hyperlink" Target="OLD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A1:AC59"/>
  <sheetViews>
    <sheetView zoomScale="85" zoomScaleNormal="85" workbookViewId="0">
      <pane xSplit="2" ySplit="3" topLeftCell="C26" activePane="bottomRight" state="frozen"/>
      <selection pane="topRight" activeCell="C1" sqref="C1"/>
      <selection pane="bottomLeft" activeCell="A4" sqref="A4"/>
      <selection pane="bottomRight" activeCell="F26" sqref="F26"/>
    </sheetView>
  </sheetViews>
  <sheetFormatPr baseColWidth="10" defaultRowHeight="15" outlineLevelCol="1" x14ac:dyDescent="0.25"/>
  <cols>
    <col min="1" max="1" width="8.5703125" customWidth="1"/>
    <col min="2" max="2" width="23" customWidth="1"/>
    <col min="3" max="3" width="18.140625" bestFit="1" customWidth="1" outlineLevel="1"/>
    <col min="4" max="4" width="13.140625" bestFit="1" customWidth="1" outlineLevel="1"/>
    <col min="5" max="5" width="14.5703125" bestFit="1" customWidth="1" outlineLevel="1"/>
    <col min="6" max="6" width="14.42578125" bestFit="1" customWidth="1" outlineLevel="1"/>
    <col min="7" max="8" width="13.5703125" bestFit="1" customWidth="1" outlineLevel="1"/>
    <col min="9" max="9" width="14.42578125" bestFit="1" customWidth="1" outlineLevel="1"/>
    <col min="10" max="10" width="13.85546875" bestFit="1" customWidth="1" outlineLevel="1"/>
    <col min="11" max="11" width="17.85546875" bestFit="1" customWidth="1" outlineLevel="1"/>
    <col min="12" max="12" width="13.42578125" bestFit="1" customWidth="1" outlineLevel="1"/>
    <col min="13" max="13" width="14" bestFit="1" customWidth="1" outlineLevel="1"/>
    <col min="14" max="14" width="15.85546875" bestFit="1" customWidth="1" outlineLevel="1"/>
    <col min="15" max="15" width="24.42578125" bestFit="1" customWidth="1"/>
    <col min="17" max="17" width="18.42578125" customWidth="1"/>
    <col min="18" max="18" width="17" customWidth="1"/>
    <col min="19" max="19" width="14.85546875" customWidth="1"/>
  </cols>
  <sheetData>
    <row r="1" spans="2:29" ht="15.75" thickBot="1" x14ac:dyDescent="0.3"/>
    <row r="2" spans="2:29" ht="30" customHeight="1" thickBot="1" x14ac:dyDescent="0.3">
      <c r="B2" s="171" t="s">
        <v>37</v>
      </c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3"/>
    </row>
    <row r="3" spans="2:29" ht="30.75" thickBot="1" x14ac:dyDescent="0.3">
      <c r="B3" s="112" t="s">
        <v>2</v>
      </c>
      <c r="C3" s="114" t="s">
        <v>155</v>
      </c>
      <c r="D3" s="111" t="s">
        <v>133</v>
      </c>
      <c r="E3" s="111" t="s">
        <v>134</v>
      </c>
      <c r="F3" s="111" t="s">
        <v>135</v>
      </c>
      <c r="G3" s="111" t="s">
        <v>136</v>
      </c>
      <c r="H3" s="111" t="s">
        <v>137</v>
      </c>
      <c r="I3" s="111" t="s">
        <v>144</v>
      </c>
      <c r="J3" s="111" t="s">
        <v>156</v>
      </c>
      <c r="K3" s="111" t="s">
        <v>139</v>
      </c>
      <c r="L3" s="111" t="s">
        <v>140</v>
      </c>
      <c r="M3" s="111" t="s">
        <v>141</v>
      </c>
      <c r="N3" s="115" t="s">
        <v>142</v>
      </c>
      <c r="O3" s="113" t="s">
        <v>125</v>
      </c>
      <c r="P3" s="92" t="s">
        <v>147</v>
      </c>
      <c r="Q3" s="121" t="s">
        <v>154</v>
      </c>
      <c r="R3" s="174" t="s">
        <v>148</v>
      </c>
      <c r="S3" s="175"/>
      <c r="T3" s="175"/>
      <c r="U3" s="175"/>
      <c r="V3" s="175"/>
      <c r="W3" s="176"/>
      <c r="X3" s="177" t="s">
        <v>149</v>
      </c>
      <c r="Y3" s="177"/>
      <c r="Z3" s="177"/>
      <c r="AA3" s="177"/>
      <c r="AB3" s="177"/>
      <c r="AC3" s="178"/>
    </row>
    <row r="4" spans="2:29" ht="15.75" thickBot="1" x14ac:dyDescent="0.3">
      <c r="B4" s="93" t="s">
        <v>84</v>
      </c>
      <c r="C4" s="116">
        <f>[1]SOURCE!H4</f>
        <v>0</v>
      </c>
      <c r="D4" s="101">
        <f>[2]SOURCE!H4</f>
        <v>0</v>
      </c>
      <c r="E4" s="101">
        <f>[3]SOURCE!H4</f>
        <v>0</v>
      </c>
      <c r="F4" s="101">
        <f>[4]SOURCE!H4</f>
        <v>7</v>
      </c>
      <c r="G4" s="101">
        <f>[5]SOURCE!H4</f>
        <v>0</v>
      </c>
      <c r="H4" s="101">
        <f>[6]SOURCE!H4</f>
        <v>0</v>
      </c>
      <c r="I4" s="101">
        <f>[7]SOURCE!H4</f>
        <v>366.95</v>
      </c>
      <c r="J4" s="101">
        <f>[8]SOURCE!H4</f>
        <v>0</v>
      </c>
      <c r="K4" s="101">
        <f>[9]SOURCE!H4</f>
        <v>10</v>
      </c>
      <c r="L4" s="101">
        <f>[10]SOURCE!H4</f>
        <v>0</v>
      </c>
      <c r="M4" s="101">
        <f>[11]SOURCE!H4</f>
        <v>0</v>
      </c>
      <c r="N4" s="89">
        <f>[12]SOURCE!H4</f>
        <v>0</v>
      </c>
      <c r="O4" s="94">
        <f>SUM(C4:N4)</f>
        <v>383.95</v>
      </c>
      <c r="P4" s="141">
        <f>192+30+100</f>
        <v>322</v>
      </c>
      <c r="Q4" s="122">
        <f>O4-P4</f>
        <v>61.949999999999989</v>
      </c>
      <c r="R4" s="143">
        <f t="shared" ref="R4:R31" si="0">O4/P4</f>
        <v>1.192391304347826</v>
      </c>
      <c r="S4" s="144"/>
      <c r="T4" s="144"/>
      <c r="U4" s="144"/>
      <c r="V4" s="144"/>
      <c r="W4" s="145"/>
      <c r="X4" s="146">
        <f>(O4+O5)/(P4+P5)</f>
        <v>1.2709225700164746</v>
      </c>
      <c r="Y4" s="147"/>
      <c r="Z4" s="147"/>
      <c r="AA4" s="147"/>
      <c r="AB4" s="147"/>
      <c r="AC4" s="148"/>
    </row>
    <row r="5" spans="2:29" ht="15.75" thickBot="1" x14ac:dyDescent="0.3">
      <c r="B5" s="96" t="s">
        <v>85</v>
      </c>
      <c r="C5" s="28">
        <f>[1]SOURCE!H5</f>
        <v>0</v>
      </c>
      <c r="D5" s="117">
        <f>[2]SOURCE!H5</f>
        <v>0</v>
      </c>
      <c r="E5" s="117">
        <f>[3]SOURCE!H5</f>
        <v>0</v>
      </c>
      <c r="F5" s="117">
        <f>[4]SOURCE!H5</f>
        <v>0</v>
      </c>
      <c r="G5" s="117">
        <f>[5]SOURCE!H5</f>
        <v>0</v>
      </c>
      <c r="H5" s="117">
        <f>[6]SOURCE!H5</f>
        <v>0</v>
      </c>
      <c r="I5" s="131">
        <f>[7]SOURCE!H5</f>
        <v>375</v>
      </c>
      <c r="J5" s="131">
        <f>[8]SOURCE!H5</f>
        <v>0</v>
      </c>
      <c r="K5" s="117">
        <f>[9]SOURCE!H5</f>
        <v>0</v>
      </c>
      <c r="L5" s="117">
        <f>[10]SOURCE!H5</f>
        <v>12.5</v>
      </c>
      <c r="M5" s="117">
        <f>[11]SOURCE!H5</f>
        <v>0</v>
      </c>
      <c r="N5" s="118">
        <f>[12]SOURCE!H5</f>
        <v>0</v>
      </c>
      <c r="O5" s="97">
        <f>SUM(C5:N5)</f>
        <v>387.5</v>
      </c>
      <c r="P5" s="142">
        <f>265+20</f>
        <v>285</v>
      </c>
      <c r="Q5" s="122">
        <f t="shared" ref="Q5:Q31" si="1">O5-P5</f>
        <v>102.5</v>
      </c>
      <c r="R5" s="152">
        <f t="shared" si="0"/>
        <v>1.3596491228070176</v>
      </c>
      <c r="S5" s="153"/>
      <c r="T5" s="153"/>
      <c r="U5" s="153"/>
      <c r="V5" s="153"/>
      <c r="W5" s="154"/>
      <c r="X5" s="149"/>
      <c r="Y5" s="150"/>
      <c r="Z5" s="150"/>
      <c r="AA5" s="150"/>
      <c r="AB5" s="150"/>
      <c r="AC5" s="151"/>
    </row>
    <row r="6" spans="2:29" ht="15.75" thickBot="1" x14ac:dyDescent="0.3">
      <c r="B6" s="93" t="s">
        <v>86</v>
      </c>
      <c r="C6" s="130">
        <f>[1]SOURCE!H6</f>
        <v>0</v>
      </c>
      <c r="D6" s="101">
        <f>[2]SOURCE!H6</f>
        <v>0</v>
      </c>
      <c r="E6" s="101">
        <f>[3]SOURCE!H6</f>
        <v>241.75</v>
      </c>
      <c r="F6" s="101">
        <f>[4]SOURCE!H6</f>
        <v>20.5</v>
      </c>
      <c r="G6" s="101">
        <f>[5]SOURCE!H6</f>
        <v>0</v>
      </c>
      <c r="H6" s="101">
        <f>[6]SOURCE!H6</f>
        <v>0</v>
      </c>
      <c r="I6" s="102">
        <f>[7]SOURCE!H6</f>
        <v>0</v>
      </c>
      <c r="J6" s="102">
        <f>[8]SOURCE!H6</f>
        <v>0</v>
      </c>
      <c r="K6" s="101">
        <f>[9]SOURCE!H6</f>
        <v>32</v>
      </c>
      <c r="L6" s="101">
        <f>[10]SOURCE!H6</f>
        <v>0</v>
      </c>
      <c r="M6" s="101">
        <f>[11]SOURCE!H6</f>
        <v>0</v>
      </c>
      <c r="N6" s="89">
        <f>[12]SOURCE!H6</f>
        <v>0</v>
      </c>
      <c r="O6" s="94">
        <f t="shared" ref="O6:O31" si="2">SUM(C6:N6)</f>
        <v>294.25</v>
      </c>
      <c r="P6" s="141">
        <f>134+100</f>
        <v>234</v>
      </c>
      <c r="Q6" s="122">
        <f t="shared" si="1"/>
        <v>60.25</v>
      </c>
      <c r="R6" s="143">
        <f t="shared" si="0"/>
        <v>1.2574786324786325</v>
      </c>
      <c r="S6" s="144"/>
      <c r="T6" s="144"/>
      <c r="U6" s="144"/>
      <c r="V6" s="144"/>
      <c r="W6" s="145"/>
      <c r="X6" s="146">
        <f>(O6+O7)/(P6+P7)</f>
        <v>1.2838491295938104</v>
      </c>
      <c r="Y6" s="147"/>
      <c r="Z6" s="147"/>
      <c r="AA6" s="147"/>
      <c r="AB6" s="147"/>
      <c r="AC6" s="148"/>
    </row>
    <row r="7" spans="2:29" ht="15.75" thickBot="1" x14ac:dyDescent="0.3">
      <c r="B7" s="96" t="s">
        <v>87</v>
      </c>
      <c r="C7" s="28">
        <f>[1]SOURCE!H7</f>
        <v>0</v>
      </c>
      <c r="D7" s="117">
        <f>[2]SOURCE!H7</f>
        <v>0</v>
      </c>
      <c r="E7" s="117">
        <f>[3]SOURCE!H7</f>
        <v>306.75</v>
      </c>
      <c r="F7" s="117">
        <f>[4]SOURCE!H7</f>
        <v>50.75</v>
      </c>
      <c r="G7" s="117">
        <f>[5]SOURCE!H7</f>
        <v>0</v>
      </c>
      <c r="H7" s="117">
        <f>[6]SOURCE!H7</f>
        <v>0</v>
      </c>
      <c r="I7" s="131">
        <f>[7]SOURCE!H7</f>
        <v>0</v>
      </c>
      <c r="J7" s="131">
        <f>[8]SOURCE!H7</f>
        <v>0</v>
      </c>
      <c r="K7" s="117">
        <f>[9]SOURCE!H7</f>
        <v>12</v>
      </c>
      <c r="L7" s="117">
        <f>[10]SOURCE!H7</f>
        <v>0</v>
      </c>
      <c r="M7" s="117">
        <f>[11]SOURCE!H7</f>
        <v>0</v>
      </c>
      <c r="N7" s="118">
        <f>[12]SOURCE!H7</f>
        <v>0</v>
      </c>
      <c r="O7" s="97">
        <f t="shared" si="2"/>
        <v>369.5</v>
      </c>
      <c r="P7" s="142">
        <f>183+100</f>
        <v>283</v>
      </c>
      <c r="Q7" s="122">
        <f t="shared" si="1"/>
        <v>86.5</v>
      </c>
      <c r="R7" s="152">
        <f t="shared" si="0"/>
        <v>1.3056537102473498</v>
      </c>
      <c r="S7" s="153"/>
      <c r="T7" s="153"/>
      <c r="U7" s="153"/>
      <c r="V7" s="153"/>
      <c r="W7" s="154"/>
      <c r="X7" s="149"/>
      <c r="Y7" s="150"/>
      <c r="Z7" s="150"/>
      <c r="AA7" s="150"/>
      <c r="AB7" s="150"/>
      <c r="AC7" s="151"/>
    </row>
    <row r="8" spans="2:29" ht="15.75" thickBot="1" x14ac:dyDescent="0.3">
      <c r="B8" s="93" t="s">
        <v>88</v>
      </c>
      <c r="C8" s="130">
        <f>[1]SOURCE!H8</f>
        <v>3</v>
      </c>
      <c r="D8" s="101">
        <f>[2]SOURCE!H8</f>
        <v>0</v>
      </c>
      <c r="E8" s="101">
        <f>[3]SOURCE!H8</f>
        <v>8</v>
      </c>
      <c r="F8" s="101">
        <f>[4]SOURCE!H8</f>
        <v>0</v>
      </c>
      <c r="G8" s="101">
        <f>[5]SOURCE!H8</f>
        <v>0</v>
      </c>
      <c r="H8" s="101">
        <f>[6]SOURCE!H8</f>
        <v>0</v>
      </c>
      <c r="I8" s="102">
        <f>[7]SOURCE!H8</f>
        <v>0</v>
      </c>
      <c r="J8" s="102">
        <f>[8]SOURCE!H8</f>
        <v>0</v>
      </c>
      <c r="K8" s="101">
        <f>[9]SOURCE!H8</f>
        <v>4</v>
      </c>
      <c r="L8" s="101">
        <f>[10]SOURCE!H8</f>
        <v>0</v>
      </c>
      <c r="M8" s="101">
        <f>[11]SOURCE!H8</f>
        <v>0</v>
      </c>
      <c r="N8" s="89">
        <f>[12]SOURCE!H8</f>
        <v>260.3</v>
      </c>
      <c r="O8" s="94">
        <f t="shared" si="2"/>
        <v>275.3</v>
      </c>
      <c r="P8" s="141">
        <f>248+10</f>
        <v>258</v>
      </c>
      <c r="Q8" s="122">
        <f t="shared" si="1"/>
        <v>17.300000000000011</v>
      </c>
      <c r="R8" s="143">
        <f t="shared" si="0"/>
        <v>1.0670542635658915</v>
      </c>
      <c r="S8" s="144"/>
      <c r="T8" s="144"/>
      <c r="U8" s="144"/>
      <c r="V8" s="144"/>
      <c r="W8" s="145"/>
      <c r="X8" s="146">
        <f>(O8+O9)/(P8+P9)</f>
        <v>0.94816176470588232</v>
      </c>
      <c r="Y8" s="147"/>
      <c r="Z8" s="147"/>
      <c r="AA8" s="147"/>
      <c r="AB8" s="147"/>
      <c r="AC8" s="148"/>
    </row>
    <row r="9" spans="2:29" ht="15.75" thickBot="1" x14ac:dyDescent="0.3">
      <c r="B9" s="96" t="s">
        <v>89</v>
      </c>
      <c r="C9" s="28">
        <f>[1]SOURCE!H9</f>
        <v>153</v>
      </c>
      <c r="D9" s="117">
        <f>[2]SOURCE!H9</f>
        <v>0</v>
      </c>
      <c r="E9" s="117">
        <f>[3]SOURCE!H9</f>
        <v>0</v>
      </c>
      <c r="F9" s="117">
        <f>[4]SOURCE!H9</f>
        <v>66</v>
      </c>
      <c r="G9" s="117">
        <f>[5]SOURCE!H9</f>
        <v>0</v>
      </c>
      <c r="H9" s="117">
        <f>[6]SOURCE!H9</f>
        <v>0</v>
      </c>
      <c r="I9" s="131">
        <f>[7]SOURCE!H9</f>
        <v>0</v>
      </c>
      <c r="J9" s="131">
        <f>[8]SOURCE!H9</f>
        <v>0</v>
      </c>
      <c r="K9" s="117">
        <f>[9]SOURCE!H9</f>
        <v>0</v>
      </c>
      <c r="L9" s="117">
        <f>[10]SOURCE!H9</f>
        <v>0</v>
      </c>
      <c r="M9" s="117">
        <f>[11]SOURCE!H9</f>
        <v>0</v>
      </c>
      <c r="N9" s="118">
        <f>[12]SOURCE!H9</f>
        <v>21.5</v>
      </c>
      <c r="O9" s="97">
        <f t="shared" si="2"/>
        <v>240.5</v>
      </c>
      <c r="P9" s="142">
        <f>276+10</f>
        <v>286</v>
      </c>
      <c r="Q9" s="122">
        <f t="shared" si="1"/>
        <v>-45.5</v>
      </c>
      <c r="R9" s="152">
        <f t="shared" si="0"/>
        <v>0.84090909090909094</v>
      </c>
      <c r="S9" s="153"/>
      <c r="T9" s="153"/>
      <c r="U9" s="153"/>
      <c r="V9" s="153"/>
      <c r="W9" s="154"/>
      <c r="X9" s="149"/>
      <c r="Y9" s="150"/>
      <c r="Z9" s="150"/>
      <c r="AA9" s="150"/>
      <c r="AB9" s="150"/>
      <c r="AC9" s="151"/>
    </row>
    <row r="10" spans="2:29" ht="15.75" thickBot="1" x14ac:dyDescent="0.3">
      <c r="B10" s="93" t="s">
        <v>90</v>
      </c>
      <c r="C10" s="130">
        <f>[1]SOURCE!H10</f>
        <v>0</v>
      </c>
      <c r="D10" s="101">
        <f>[2]SOURCE!H10</f>
        <v>0</v>
      </c>
      <c r="E10" s="101">
        <f>[3]SOURCE!H10</f>
        <v>0</v>
      </c>
      <c r="F10" s="101">
        <f>[4]SOURCE!H10</f>
        <v>8.25</v>
      </c>
      <c r="G10" s="101">
        <f>[5]SOURCE!H10</f>
        <v>0</v>
      </c>
      <c r="H10" s="101">
        <f>[6]SOURCE!H10</f>
        <v>398</v>
      </c>
      <c r="I10" s="102">
        <f>[7]SOURCE!H10</f>
        <v>0</v>
      </c>
      <c r="J10" s="102">
        <f>[8]SOURCE!H10</f>
        <v>0</v>
      </c>
      <c r="K10" s="101">
        <f>[9]SOURCE!H10</f>
        <v>8</v>
      </c>
      <c r="L10" s="101">
        <f>[10]SOURCE!H10</f>
        <v>163.69999999999999</v>
      </c>
      <c r="M10" s="101">
        <f>[11]SOURCE!H10</f>
        <v>3</v>
      </c>
      <c r="N10" s="89">
        <f>[12]SOURCE!H10</f>
        <v>0</v>
      </c>
      <c r="O10" s="94">
        <f t="shared" si="2"/>
        <v>580.95000000000005</v>
      </c>
      <c r="P10" s="141">
        <f>300+25+100</f>
        <v>425</v>
      </c>
      <c r="Q10" s="122">
        <f t="shared" si="1"/>
        <v>155.95000000000005</v>
      </c>
      <c r="R10" s="143">
        <f t="shared" si="0"/>
        <v>1.3669411764705883</v>
      </c>
      <c r="S10" s="144"/>
      <c r="T10" s="144"/>
      <c r="U10" s="144"/>
      <c r="V10" s="144"/>
      <c r="W10" s="145"/>
      <c r="X10" s="146">
        <f>(O10+O11)/(P10+P11)</f>
        <v>1.1135847107438017</v>
      </c>
      <c r="Y10" s="147"/>
      <c r="Z10" s="147"/>
      <c r="AA10" s="147"/>
      <c r="AB10" s="147"/>
      <c r="AC10" s="148"/>
    </row>
    <row r="11" spans="2:29" ht="15.75" thickBot="1" x14ac:dyDescent="0.3">
      <c r="B11" s="96" t="s">
        <v>91</v>
      </c>
      <c r="C11" s="28">
        <f>[1]SOURCE!H11</f>
        <v>197</v>
      </c>
      <c r="D11" s="117">
        <f>[2]SOURCE!H11</f>
        <v>0</v>
      </c>
      <c r="E11" s="117">
        <f>[3]SOURCE!H11</f>
        <v>231.5</v>
      </c>
      <c r="F11" s="117">
        <f>[4]SOURCE!H11</f>
        <v>0</v>
      </c>
      <c r="G11" s="117">
        <f>[5]SOURCE!H11</f>
        <v>0</v>
      </c>
      <c r="H11" s="117">
        <f>[6]SOURCE!H11</f>
        <v>0</v>
      </c>
      <c r="I11" s="131">
        <f>[7]SOURCE!H11</f>
        <v>0</v>
      </c>
      <c r="J11" s="131">
        <f>[8]SOURCE!H11</f>
        <v>0</v>
      </c>
      <c r="K11" s="117">
        <f>[9]SOURCE!H11</f>
        <v>26</v>
      </c>
      <c r="L11" s="117">
        <f>[10]SOURCE!H11</f>
        <v>38.5</v>
      </c>
      <c r="M11" s="117">
        <f>[11]SOURCE!H11</f>
        <v>4</v>
      </c>
      <c r="N11" s="118">
        <f>[12]SOURCE!H11</f>
        <v>0</v>
      </c>
      <c r="O11" s="97">
        <f t="shared" si="2"/>
        <v>497</v>
      </c>
      <c r="P11" s="142">
        <v>543</v>
      </c>
      <c r="Q11" s="122">
        <f t="shared" si="1"/>
        <v>-46</v>
      </c>
      <c r="R11" s="152">
        <f t="shared" si="0"/>
        <v>0.9152854511970534</v>
      </c>
      <c r="S11" s="153"/>
      <c r="T11" s="153"/>
      <c r="U11" s="153"/>
      <c r="V11" s="153"/>
      <c r="W11" s="154"/>
      <c r="X11" s="149"/>
      <c r="Y11" s="150"/>
      <c r="Z11" s="150"/>
      <c r="AA11" s="150"/>
      <c r="AB11" s="150"/>
      <c r="AC11" s="151"/>
    </row>
    <row r="12" spans="2:29" ht="15.75" thickBot="1" x14ac:dyDescent="0.3">
      <c r="B12" s="93" t="s">
        <v>92</v>
      </c>
      <c r="C12" s="130">
        <f>[1]SOURCE!H12</f>
        <v>0</v>
      </c>
      <c r="D12" s="101">
        <f>[2]SOURCE!H12</f>
        <v>4.5</v>
      </c>
      <c r="E12" s="101">
        <f>[3]SOURCE!H12</f>
        <v>0</v>
      </c>
      <c r="F12" s="101">
        <f>[4]SOURCE!H12</f>
        <v>121.625</v>
      </c>
      <c r="G12" s="101">
        <f>[5]SOURCE!H12</f>
        <v>0</v>
      </c>
      <c r="H12" s="101">
        <f>[6]SOURCE!H12</f>
        <v>0</v>
      </c>
      <c r="I12" s="102">
        <f>[7]SOURCE!H12</f>
        <v>0</v>
      </c>
      <c r="J12" s="102">
        <f>[8]SOURCE!H12</f>
        <v>0</v>
      </c>
      <c r="K12" s="101">
        <f>[9]SOURCE!H12</f>
        <v>0</v>
      </c>
      <c r="L12" s="101">
        <f>[10]SOURCE!H12</f>
        <v>0</v>
      </c>
      <c r="M12" s="101">
        <f>[11]SOURCE!H12</f>
        <v>1.5</v>
      </c>
      <c r="N12" s="89">
        <f>[12]SOURCE!H12</f>
        <v>0</v>
      </c>
      <c r="O12" s="94">
        <f t="shared" si="2"/>
        <v>127.625</v>
      </c>
      <c r="P12" s="141">
        <v>220</v>
      </c>
      <c r="Q12" s="122">
        <f t="shared" si="1"/>
        <v>-92.375</v>
      </c>
      <c r="R12" s="143">
        <f t="shared" si="0"/>
        <v>0.58011363636363633</v>
      </c>
      <c r="S12" s="144"/>
      <c r="T12" s="144"/>
      <c r="U12" s="144"/>
      <c r="V12" s="144"/>
      <c r="W12" s="145"/>
      <c r="X12" s="146">
        <f>(O12+O13)/(P12+P13)</f>
        <v>0.73339743589743589</v>
      </c>
      <c r="Y12" s="147"/>
      <c r="Z12" s="147"/>
      <c r="AA12" s="147"/>
      <c r="AB12" s="147"/>
      <c r="AC12" s="148"/>
    </row>
    <row r="13" spans="2:29" ht="15.75" thickBot="1" x14ac:dyDescent="0.3">
      <c r="B13" s="96" t="s">
        <v>93</v>
      </c>
      <c r="C13" s="28">
        <f>[1]SOURCE!H13</f>
        <v>0</v>
      </c>
      <c r="D13" s="117">
        <f>[2]SOURCE!H13</f>
        <v>0</v>
      </c>
      <c r="E13" s="117">
        <f>[3]SOURCE!H13</f>
        <v>17.5</v>
      </c>
      <c r="F13" s="117">
        <f>[4]SOURCE!H13</f>
        <v>9.9</v>
      </c>
      <c r="G13" s="117">
        <f>[5]SOURCE!H13</f>
        <v>0</v>
      </c>
      <c r="H13" s="117">
        <f>[6]SOURCE!H13</f>
        <v>0</v>
      </c>
      <c r="I13" s="131">
        <f>[7]SOURCE!H13</f>
        <v>0</v>
      </c>
      <c r="J13" s="131">
        <f>[8]SOURCE!H13</f>
        <v>131</v>
      </c>
      <c r="K13" s="117">
        <f>[9]SOURCE!H13</f>
        <v>0</v>
      </c>
      <c r="L13" s="117">
        <f>[10]SOURCE!H13</f>
        <v>0</v>
      </c>
      <c r="M13" s="117">
        <f>[11]SOURCE!H13</f>
        <v>0</v>
      </c>
      <c r="N13" s="118">
        <f>[12]SOURCE!H13</f>
        <v>0</v>
      </c>
      <c r="O13" s="97">
        <f t="shared" si="2"/>
        <v>158.4</v>
      </c>
      <c r="P13" s="142">
        <v>170</v>
      </c>
      <c r="Q13" s="122">
        <f t="shared" si="1"/>
        <v>-11.599999999999994</v>
      </c>
      <c r="R13" s="152">
        <f t="shared" si="0"/>
        <v>0.93176470588235294</v>
      </c>
      <c r="S13" s="153"/>
      <c r="T13" s="153"/>
      <c r="U13" s="153"/>
      <c r="V13" s="153"/>
      <c r="W13" s="154"/>
      <c r="X13" s="149"/>
      <c r="Y13" s="150"/>
      <c r="Z13" s="150"/>
      <c r="AA13" s="150"/>
      <c r="AB13" s="150"/>
      <c r="AC13" s="151"/>
    </row>
    <row r="14" spans="2:29" ht="15.75" thickBot="1" x14ac:dyDescent="0.3">
      <c r="B14" s="93" t="s">
        <v>94</v>
      </c>
      <c r="C14" s="130">
        <f>[1]SOURCE!H14</f>
        <v>0</v>
      </c>
      <c r="D14" s="101">
        <f>[2]SOURCE!H14</f>
        <v>0</v>
      </c>
      <c r="E14" s="101">
        <f>[3]SOURCE!H14</f>
        <v>0</v>
      </c>
      <c r="F14" s="101">
        <f>[4]SOURCE!H14</f>
        <v>80.625</v>
      </c>
      <c r="G14" s="101">
        <f>[5]SOURCE!H14</f>
        <v>0</v>
      </c>
      <c r="H14" s="101">
        <f>[6]SOURCE!H14</f>
        <v>0</v>
      </c>
      <c r="I14" s="102">
        <f>[7]SOURCE!H14</f>
        <v>0</v>
      </c>
      <c r="J14" s="102">
        <f>[8]SOURCE!H14</f>
        <v>0</v>
      </c>
      <c r="K14" s="101">
        <f>[9]SOURCE!H14</f>
        <v>0</v>
      </c>
      <c r="L14" s="101">
        <f>[10]SOURCE!H14</f>
        <v>0</v>
      </c>
      <c r="M14" s="101">
        <f>[11]SOURCE!H14</f>
        <v>4</v>
      </c>
      <c r="N14" s="89">
        <f>[12]SOURCE!H14</f>
        <v>0</v>
      </c>
      <c r="O14" s="94">
        <f t="shared" si="2"/>
        <v>84.625</v>
      </c>
      <c r="P14" s="141">
        <v>201</v>
      </c>
      <c r="Q14" s="122">
        <f t="shared" si="1"/>
        <v>-116.375</v>
      </c>
      <c r="R14" s="143">
        <f t="shared" si="0"/>
        <v>0.42101990049751242</v>
      </c>
      <c r="S14" s="144"/>
      <c r="T14" s="144"/>
      <c r="U14" s="144"/>
      <c r="V14" s="144"/>
      <c r="W14" s="145"/>
      <c r="X14" s="146">
        <f>(O14+O15)/(P14+P15)</f>
        <v>0.64884196185286103</v>
      </c>
      <c r="Y14" s="147"/>
      <c r="Z14" s="147"/>
      <c r="AA14" s="147"/>
      <c r="AB14" s="147"/>
      <c r="AC14" s="148"/>
    </row>
    <row r="15" spans="2:29" ht="15.75" thickBot="1" x14ac:dyDescent="0.3">
      <c r="B15" s="96" t="s">
        <v>95</v>
      </c>
      <c r="C15" s="28">
        <f>[1]SOURCE!H15</f>
        <v>0</v>
      </c>
      <c r="D15" s="117">
        <f>[2]SOURCE!H15</f>
        <v>0</v>
      </c>
      <c r="E15" s="117">
        <f>[3]SOURCE!H15</f>
        <v>62.5</v>
      </c>
      <c r="F15" s="117">
        <f>[4]SOURCE!H15</f>
        <v>0</v>
      </c>
      <c r="G15" s="117">
        <f>[5]SOURCE!H15</f>
        <v>0</v>
      </c>
      <c r="H15" s="117">
        <f>[6]SOURCE!H15</f>
        <v>0</v>
      </c>
      <c r="I15" s="131">
        <f>[7]SOURCE!H15</f>
        <v>0</v>
      </c>
      <c r="J15" s="131">
        <f>[8]SOURCE!H15</f>
        <v>0</v>
      </c>
      <c r="K15" s="117">
        <f>[9]SOURCE!H15</f>
        <v>0</v>
      </c>
      <c r="L15" s="117">
        <f>[10]SOURCE!H15</f>
        <v>0</v>
      </c>
      <c r="M15" s="117">
        <f>[11]SOURCE!H15</f>
        <v>91</v>
      </c>
      <c r="N15" s="118">
        <f>[12]SOURCE!H15</f>
        <v>0</v>
      </c>
      <c r="O15" s="97">
        <f t="shared" si="2"/>
        <v>153.5</v>
      </c>
      <c r="P15" s="142">
        <v>166</v>
      </c>
      <c r="Q15" s="122">
        <f t="shared" si="1"/>
        <v>-12.5</v>
      </c>
      <c r="R15" s="152">
        <f t="shared" si="0"/>
        <v>0.92469879518072284</v>
      </c>
      <c r="S15" s="153"/>
      <c r="T15" s="153"/>
      <c r="U15" s="153"/>
      <c r="V15" s="153"/>
      <c r="W15" s="154"/>
      <c r="X15" s="149"/>
      <c r="Y15" s="150"/>
      <c r="Z15" s="150"/>
      <c r="AA15" s="150"/>
      <c r="AB15" s="150"/>
      <c r="AC15" s="151"/>
    </row>
    <row r="16" spans="2:29" ht="15.75" thickBot="1" x14ac:dyDescent="0.3">
      <c r="B16" s="93" t="s">
        <v>96</v>
      </c>
      <c r="C16" s="130">
        <f>[1]SOURCE!H16</f>
        <v>0</v>
      </c>
      <c r="D16" s="101">
        <f>[2]SOURCE!H16</f>
        <v>0</v>
      </c>
      <c r="E16" s="101">
        <f>[3]SOURCE!H16</f>
        <v>0</v>
      </c>
      <c r="F16" s="101">
        <f>[4]SOURCE!H16</f>
        <v>0</v>
      </c>
      <c r="G16" s="101">
        <f>[5]SOURCE!H16</f>
        <v>16.5</v>
      </c>
      <c r="H16" s="101">
        <f>[6]SOURCE!H16</f>
        <v>0</v>
      </c>
      <c r="I16" s="102">
        <f>[7]SOURCE!H16</f>
        <v>0</v>
      </c>
      <c r="J16" s="102">
        <f>[8]SOURCE!H16</f>
        <v>0</v>
      </c>
      <c r="K16" s="101">
        <f>[9]SOURCE!H16</f>
        <v>0</v>
      </c>
      <c r="L16" s="101">
        <f>[10]SOURCE!H16</f>
        <v>0</v>
      </c>
      <c r="M16" s="101">
        <f>[11]SOURCE!H16</f>
        <v>107</v>
      </c>
      <c r="N16" s="89">
        <f>[12]SOURCE!H16</f>
        <v>0</v>
      </c>
      <c r="O16" s="94">
        <f t="shared" si="2"/>
        <v>123.5</v>
      </c>
      <c r="P16" s="141">
        <v>177</v>
      </c>
      <c r="Q16" s="122">
        <f t="shared" si="1"/>
        <v>-53.5</v>
      </c>
      <c r="R16" s="143">
        <f t="shared" si="0"/>
        <v>0.69774011299435024</v>
      </c>
      <c r="S16" s="144"/>
      <c r="T16" s="144"/>
      <c r="U16" s="144"/>
      <c r="V16" s="144"/>
      <c r="W16" s="145"/>
      <c r="X16" s="146">
        <f>(O16+O17)/(P16+P17)</f>
        <v>0.79385321100917439</v>
      </c>
      <c r="Y16" s="147"/>
      <c r="Z16" s="147"/>
      <c r="AA16" s="147"/>
      <c r="AB16" s="147"/>
      <c r="AC16" s="148"/>
    </row>
    <row r="17" spans="2:29" ht="15.75" thickBot="1" x14ac:dyDescent="0.3">
      <c r="B17" s="96" t="s">
        <v>98</v>
      </c>
      <c r="C17" s="28">
        <f>[1]SOURCE!H17</f>
        <v>0</v>
      </c>
      <c r="D17" s="117">
        <f>[2]SOURCE!H17</f>
        <v>0</v>
      </c>
      <c r="E17" s="117">
        <f>[3]SOURCE!H17</f>
        <v>0</v>
      </c>
      <c r="F17" s="117">
        <f>[4]SOURCE!H17</f>
        <v>66.39</v>
      </c>
      <c r="G17" s="117">
        <f>[5]SOURCE!H17</f>
        <v>0</v>
      </c>
      <c r="H17" s="117">
        <f>[6]SOURCE!H17</f>
        <v>0</v>
      </c>
      <c r="I17" s="131">
        <f>[7]SOURCE!H17</f>
        <v>12.2</v>
      </c>
      <c r="J17" s="131">
        <f>[8]SOURCE!H17</f>
        <v>0</v>
      </c>
      <c r="K17" s="117">
        <f>[9]SOURCE!H17</f>
        <v>0</v>
      </c>
      <c r="L17" s="117">
        <f>[10]SOURCE!H17</f>
        <v>0</v>
      </c>
      <c r="M17" s="117">
        <f>[11]SOURCE!H17</f>
        <v>57.5</v>
      </c>
      <c r="N17" s="118">
        <f>[12]SOURCE!H17</f>
        <v>0</v>
      </c>
      <c r="O17" s="97">
        <f t="shared" si="2"/>
        <v>136.09</v>
      </c>
      <c r="P17" s="142">
        <v>150</v>
      </c>
      <c r="Q17" s="122">
        <f t="shared" si="1"/>
        <v>-13.909999999999997</v>
      </c>
      <c r="R17" s="152">
        <f t="shared" si="0"/>
        <v>0.90726666666666667</v>
      </c>
      <c r="S17" s="153"/>
      <c r="T17" s="153"/>
      <c r="U17" s="153"/>
      <c r="V17" s="153"/>
      <c r="W17" s="154"/>
      <c r="X17" s="149"/>
      <c r="Y17" s="150"/>
      <c r="Z17" s="150"/>
      <c r="AA17" s="150"/>
      <c r="AB17" s="150"/>
      <c r="AC17" s="151"/>
    </row>
    <row r="18" spans="2:29" ht="15.75" thickBot="1" x14ac:dyDescent="0.3">
      <c r="B18" s="93" t="s">
        <v>99</v>
      </c>
      <c r="C18" s="130">
        <f>[1]SOURCE!H18</f>
        <v>0</v>
      </c>
      <c r="D18" s="101">
        <f>[2]SOURCE!H18</f>
        <v>0</v>
      </c>
      <c r="E18" s="101">
        <f>[3]SOURCE!H18</f>
        <v>0</v>
      </c>
      <c r="F18" s="101">
        <f>[4]SOURCE!H18</f>
        <v>0</v>
      </c>
      <c r="G18" s="101">
        <f>[5]SOURCE!H18</f>
        <v>14</v>
      </c>
      <c r="H18" s="101">
        <f>[6]SOURCE!H18</f>
        <v>0</v>
      </c>
      <c r="I18" s="102">
        <f>[7]SOURCE!H18</f>
        <v>0</v>
      </c>
      <c r="J18" s="102">
        <f>[8]SOURCE!H18</f>
        <v>0</v>
      </c>
      <c r="K18" s="101">
        <f>[9]SOURCE!H18</f>
        <v>0</v>
      </c>
      <c r="L18" s="101">
        <f>[10]SOURCE!H18</f>
        <v>159.1</v>
      </c>
      <c r="M18" s="101">
        <f>[11]SOURCE!H18</f>
        <v>0</v>
      </c>
      <c r="N18" s="89">
        <f>[12]SOURCE!H18</f>
        <v>0</v>
      </c>
      <c r="O18" s="94">
        <f t="shared" si="2"/>
        <v>173.1</v>
      </c>
      <c r="P18" s="141">
        <v>160</v>
      </c>
      <c r="Q18" s="122">
        <f t="shared" si="1"/>
        <v>13.099999999999994</v>
      </c>
      <c r="R18" s="143">
        <f t="shared" si="0"/>
        <v>1.0818749999999999</v>
      </c>
      <c r="S18" s="144"/>
      <c r="T18" s="144"/>
      <c r="U18" s="144"/>
      <c r="V18" s="144"/>
      <c r="W18" s="145"/>
      <c r="X18" s="146">
        <f>(O18+O19)/(P18+P19)</f>
        <v>0.98865979381443292</v>
      </c>
      <c r="Y18" s="147"/>
      <c r="Z18" s="147"/>
      <c r="AA18" s="147"/>
      <c r="AB18" s="147"/>
      <c r="AC18" s="148"/>
    </row>
    <row r="19" spans="2:29" ht="15.75" thickBot="1" x14ac:dyDescent="0.3">
      <c r="B19" s="96" t="s">
        <v>97</v>
      </c>
      <c r="C19" s="28">
        <f>[1]SOURCE!H19</f>
        <v>0</v>
      </c>
      <c r="D19" s="117">
        <f>[2]SOURCE!H19</f>
        <v>0</v>
      </c>
      <c r="E19" s="117">
        <f>[3]SOURCE!H19</f>
        <v>0</v>
      </c>
      <c r="F19" s="117">
        <f>[4]SOURCE!H19</f>
        <v>49.7</v>
      </c>
      <c r="G19" s="117">
        <f>[5]SOURCE!H19</f>
        <v>0</v>
      </c>
      <c r="H19" s="117">
        <f>[6]SOURCE!H19</f>
        <v>0</v>
      </c>
      <c r="I19" s="131">
        <f>[7]SOURCE!H19</f>
        <v>12.4</v>
      </c>
      <c r="J19" s="131">
        <f>[8]SOURCE!H19</f>
        <v>0</v>
      </c>
      <c r="K19" s="117">
        <f>[9]SOURCE!H19</f>
        <v>0</v>
      </c>
      <c r="L19" s="117">
        <f>[10]SOURCE!H19</f>
        <v>0</v>
      </c>
      <c r="M19" s="117">
        <f>[11]SOURCE!H19</f>
        <v>52.5</v>
      </c>
      <c r="N19" s="118">
        <f>[12]SOURCE!H19</f>
        <v>0</v>
      </c>
      <c r="O19" s="97">
        <f t="shared" si="2"/>
        <v>114.6</v>
      </c>
      <c r="P19" s="142">
        <v>131</v>
      </c>
      <c r="Q19" s="122">
        <f t="shared" si="1"/>
        <v>-16.400000000000006</v>
      </c>
      <c r="R19" s="152">
        <f t="shared" si="0"/>
        <v>0.8748091603053435</v>
      </c>
      <c r="S19" s="153"/>
      <c r="T19" s="153"/>
      <c r="U19" s="153"/>
      <c r="V19" s="153"/>
      <c r="W19" s="154"/>
      <c r="X19" s="149"/>
      <c r="Y19" s="150"/>
      <c r="Z19" s="150"/>
      <c r="AA19" s="150"/>
      <c r="AB19" s="150"/>
      <c r="AC19" s="151"/>
    </row>
    <row r="20" spans="2:29" ht="15.75" thickBot="1" x14ac:dyDescent="0.3">
      <c r="B20" s="93" t="s">
        <v>100</v>
      </c>
      <c r="C20" s="130">
        <f>[1]SOURCE!H20</f>
        <v>0</v>
      </c>
      <c r="D20" s="101">
        <f>[2]SOURCE!H20</f>
        <v>213</v>
      </c>
      <c r="E20" s="101">
        <f>[3]SOURCE!H20</f>
        <v>0</v>
      </c>
      <c r="F20" s="101">
        <f>[4]SOURCE!H20</f>
        <v>0</v>
      </c>
      <c r="G20" s="101">
        <f>[5]SOURCE!H20</f>
        <v>0</v>
      </c>
      <c r="H20" s="101">
        <f>[6]SOURCE!H20</f>
        <v>0</v>
      </c>
      <c r="I20" s="102">
        <f>[7]SOURCE!H20</f>
        <v>0</v>
      </c>
      <c r="J20" s="102">
        <f>[8]SOURCE!H20</f>
        <v>0</v>
      </c>
      <c r="K20" s="101">
        <f>[9]SOURCE!H20</f>
        <v>0</v>
      </c>
      <c r="L20" s="101">
        <f>[10]SOURCE!H20</f>
        <v>0</v>
      </c>
      <c r="M20" s="101">
        <f>[11]SOURCE!H20</f>
        <v>0</v>
      </c>
      <c r="N20" s="89">
        <f>[12]SOURCE!H20</f>
        <v>0</v>
      </c>
      <c r="O20" s="94">
        <f t="shared" si="2"/>
        <v>213</v>
      </c>
      <c r="P20" s="141">
        <f>200+15</f>
        <v>215</v>
      </c>
      <c r="Q20" s="122">
        <f t="shared" si="1"/>
        <v>-2</v>
      </c>
      <c r="R20" s="143">
        <f t="shared" si="0"/>
        <v>0.99069767441860468</v>
      </c>
      <c r="S20" s="144"/>
      <c r="T20" s="144"/>
      <c r="U20" s="144"/>
      <c r="V20" s="144"/>
      <c r="W20" s="145"/>
      <c r="X20" s="146">
        <f>(O20+O21)/(P20+P21)</f>
        <v>1.5461538461538462</v>
      </c>
      <c r="Y20" s="147"/>
      <c r="Z20" s="147"/>
      <c r="AA20" s="147"/>
      <c r="AB20" s="147"/>
      <c r="AC20" s="148"/>
    </row>
    <row r="21" spans="2:29" ht="15.75" thickBot="1" x14ac:dyDescent="0.3">
      <c r="B21" s="96" t="s">
        <v>101</v>
      </c>
      <c r="C21" s="28">
        <f>[1]SOURCE!H21</f>
        <v>0</v>
      </c>
      <c r="D21" s="117">
        <f>[2]SOURCE!H21</f>
        <v>390</v>
      </c>
      <c r="E21" s="117">
        <f>[3]SOURCE!H21</f>
        <v>0</v>
      </c>
      <c r="F21" s="117">
        <f>[4]SOURCE!H21</f>
        <v>0</v>
      </c>
      <c r="G21" s="117">
        <f>[5]SOURCE!H21</f>
        <v>0</v>
      </c>
      <c r="H21" s="117">
        <f>[6]SOURCE!H21</f>
        <v>0</v>
      </c>
      <c r="I21" s="131">
        <f>[7]SOURCE!H21</f>
        <v>0</v>
      </c>
      <c r="J21" s="131">
        <f>[8]SOURCE!H21</f>
        <v>0</v>
      </c>
      <c r="K21" s="117">
        <f>[9]SOURCE!H21</f>
        <v>0</v>
      </c>
      <c r="L21" s="117">
        <f>[10]SOURCE!H21</f>
        <v>0</v>
      </c>
      <c r="M21" s="117">
        <f>[11]SOURCE!H21</f>
        <v>0</v>
      </c>
      <c r="N21" s="118">
        <f>[12]SOURCE!H21</f>
        <v>0</v>
      </c>
      <c r="O21" s="97">
        <f t="shared" si="2"/>
        <v>390</v>
      </c>
      <c r="P21" s="142">
        <f>160+15</f>
        <v>175</v>
      </c>
      <c r="Q21" s="122">
        <f t="shared" si="1"/>
        <v>215</v>
      </c>
      <c r="R21" s="152">
        <f t="shared" si="0"/>
        <v>2.2285714285714286</v>
      </c>
      <c r="S21" s="153"/>
      <c r="T21" s="153"/>
      <c r="U21" s="153"/>
      <c r="V21" s="153"/>
      <c r="W21" s="154"/>
      <c r="X21" s="149"/>
      <c r="Y21" s="150"/>
      <c r="Z21" s="150"/>
      <c r="AA21" s="150"/>
      <c r="AB21" s="150"/>
      <c r="AC21" s="151"/>
    </row>
    <row r="22" spans="2:29" ht="15.75" thickBot="1" x14ac:dyDescent="0.3">
      <c r="B22" s="93" t="s">
        <v>102</v>
      </c>
      <c r="C22" s="130">
        <f>[1]SOURCE!H22</f>
        <v>0</v>
      </c>
      <c r="D22" s="101">
        <f>[2]SOURCE!H22</f>
        <v>102</v>
      </c>
      <c r="E22" s="101">
        <f>[3]SOURCE!H22</f>
        <v>0</v>
      </c>
      <c r="F22" s="101">
        <f>[4]SOURCE!H22</f>
        <v>0</v>
      </c>
      <c r="G22" s="101">
        <f>[5]SOURCE!H22</f>
        <v>0</v>
      </c>
      <c r="H22" s="101">
        <f>[6]SOURCE!H22</f>
        <v>0</v>
      </c>
      <c r="I22" s="102">
        <f>[7]SOURCE!H22</f>
        <v>0</v>
      </c>
      <c r="J22" s="102">
        <f>[8]SOURCE!H22</f>
        <v>0</v>
      </c>
      <c r="K22" s="101">
        <f>[9]SOURCE!H22</f>
        <v>4</v>
      </c>
      <c r="L22" s="101">
        <f>[10]SOURCE!H22</f>
        <v>0</v>
      </c>
      <c r="M22" s="101">
        <f>[11]SOURCE!H22</f>
        <v>157</v>
      </c>
      <c r="N22" s="89">
        <f>[12]SOURCE!H22</f>
        <v>0</v>
      </c>
      <c r="O22" s="94">
        <f t="shared" si="2"/>
        <v>263</v>
      </c>
      <c r="P22" s="141">
        <f>197+25+42.5</f>
        <v>264.5</v>
      </c>
      <c r="Q22" s="122">
        <f t="shared" si="1"/>
        <v>-1.5</v>
      </c>
      <c r="R22" s="143">
        <f t="shared" si="0"/>
        <v>0.99432892249527405</v>
      </c>
      <c r="S22" s="144"/>
      <c r="T22" s="144"/>
      <c r="U22" s="144"/>
      <c r="V22" s="144"/>
      <c r="W22" s="145"/>
      <c r="X22" s="146">
        <f>(O22+O23)/(P22+P23)</f>
        <v>1.2005708848715508</v>
      </c>
      <c r="Y22" s="147"/>
      <c r="Z22" s="147"/>
      <c r="AA22" s="147"/>
      <c r="AB22" s="147"/>
      <c r="AC22" s="148"/>
    </row>
    <row r="23" spans="2:29" ht="15.75" thickBot="1" x14ac:dyDescent="0.3">
      <c r="B23" s="96" t="s">
        <v>103</v>
      </c>
      <c r="C23" s="28">
        <f>[1]SOURCE!H23</f>
        <v>0</v>
      </c>
      <c r="D23" s="117">
        <f>[2]SOURCE!H23</f>
        <v>0</v>
      </c>
      <c r="E23" s="117">
        <f>[3]SOURCE!H23</f>
        <v>0</v>
      </c>
      <c r="F23" s="117">
        <f>[4]SOURCE!H23</f>
        <v>7.4</v>
      </c>
      <c r="G23" s="117">
        <f>[5]SOURCE!H23</f>
        <v>0</v>
      </c>
      <c r="H23" s="117">
        <f>[6]SOURCE!H23</f>
        <v>0</v>
      </c>
      <c r="I23" s="131">
        <f>[7]SOURCE!H23</f>
        <v>0</v>
      </c>
      <c r="J23" s="131">
        <f>[8]SOURCE!H23</f>
        <v>0</v>
      </c>
      <c r="K23" s="117">
        <f>[9]SOURCE!H23</f>
        <v>0</v>
      </c>
      <c r="L23" s="117">
        <f>[10]SOURCE!H23</f>
        <v>0</v>
      </c>
      <c r="M23" s="117">
        <f>[11]SOURCE!H23</f>
        <v>360.5</v>
      </c>
      <c r="N23" s="118">
        <f>[12]SOURCE!H23</f>
        <v>0</v>
      </c>
      <c r="O23" s="97">
        <f t="shared" si="2"/>
        <v>367.9</v>
      </c>
      <c r="P23" s="142">
        <f>161+100</f>
        <v>261</v>
      </c>
      <c r="Q23" s="122">
        <f t="shared" si="1"/>
        <v>106.89999999999998</v>
      </c>
      <c r="R23" s="152">
        <f t="shared" si="0"/>
        <v>1.4095785440613027</v>
      </c>
      <c r="S23" s="153"/>
      <c r="T23" s="153"/>
      <c r="U23" s="153"/>
      <c r="V23" s="153"/>
      <c r="W23" s="154"/>
      <c r="X23" s="149"/>
      <c r="Y23" s="150"/>
      <c r="Z23" s="150"/>
      <c r="AA23" s="150"/>
      <c r="AB23" s="150"/>
      <c r="AC23" s="151"/>
    </row>
    <row r="24" spans="2:29" ht="15.75" thickBot="1" x14ac:dyDescent="0.3">
      <c r="B24" s="93" t="s">
        <v>104</v>
      </c>
      <c r="C24" s="130">
        <f>[1]SOURCE!H24</f>
        <v>0</v>
      </c>
      <c r="D24" s="101">
        <f>[2]SOURCE!H24</f>
        <v>0</v>
      </c>
      <c r="E24" s="101">
        <f>[3]SOURCE!H24</f>
        <v>0</v>
      </c>
      <c r="F24" s="101">
        <f>[4]SOURCE!H24</f>
        <v>12.25</v>
      </c>
      <c r="G24" s="101">
        <f>[5]SOURCE!H24</f>
        <v>414.05</v>
      </c>
      <c r="H24" s="101">
        <f>[6]SOURCE!H24</f>
        <v>0</v>
      </c>
      <c r="I24" s="102">
        <f>[7]SOURCE!H24</f>
        <v>0</v>
      </c>
      <c r="J24" s="102">
        <f>[8]SOURCE!H24</f>
        <v>0</v>
      </c>
      <c r="K24" s="101">
        <f>[9]SOURCE!H24</f>
        <v>34.5</v>
      </c>
      <c r="L24" s="101">
        <f>[10]SOURCE!H24</f>
        <v>0</v>
      </c>
      <c r="M24" s="101">
        <f>[11]SOURCE!H24</f>
        <v>0</v>
      </c>
      <c r="N24" s="89">
        <f>[12]SOURCE!H24</f>
        <v>0</v>
      </c>
      <c r="O24" s="94">
        <f t="shared" si="2"/>
        <v>460.8</v>
      </c>
      <c r="P24" s="141">
        <f>382+90</f>
        <v>472</v>
      </c>
      <c r="Q24" s="122">
        <f t="shared" si="1"/>
        <v>-11.199999999999989</v>
      </c>
      <c r="R24" s="143">
        <f t="shared" si="0"/>
        <v>0.97627118644067801</v>
      </c>
      <c r="S24" s="144"/>
      <c r="T24" s="144"/>
      <c r="U24" s="144"/>
      <c r="V24" s="144"/>
      <c r="W24" s="145"/>
      <c r="X24" s="146">
        <f>(O24+O25)/(P24+P25)</f>
        <v>1.042781520692974</v>
      </c>
      <c r="Y24" s="147"/>
      <c r="Z24" s="147"/>
      <c r="AA24" s="147"/>
      <c r="AB24" s="147"/>
      <c r="AC24" s="148"/>
    </row>
    <row r="25" spans="2:29" ht="15.75" thickBot="1" x14ac:dyDescent="0.3">
      <c r="B25" s="96" t="s">
        <v>105</v>
      </c>
      <c r="C25" s="28">
        <f>[1]SOURCE!H25</f>
        <v>37</v>
      </c>
      <c r="D25" s="117">
        <f>[2]SOURCE!H25</f>
        <v>163.75</v>
      </c>
      <c r="E25" s="117">
        <f>[3]SOURCE!H25</f>
        <v>34.5</v>
      </c>
      <c r="F25" s="117">
        <f>[4]SOURCE!H25</f>
        <v>0</v>
      </c>
      <c r="G25" s="117">
        <f>[5]SOURCE!H25</f>
        <v>387.4</v>
      </c>
      <c r="H25" s="117">
        <f>[6]SOURCE!H25</f>
        <v>0</v>
      </c>
      <c r="I25" s="131">
        <f>[7]SOURCE!H25</f>
        <v>0</v>
      </c>
      <c r="J25" s="131">
        <f>[8]SOURCE!H25</f>
        <v>0</v>
      </c>
      <c r="K25" s="117">
        <f>[9]SOURCE!H25</f>
        <v>0</v>
      </c>
      <c r="L25" s="117">
        <f>[10]SOURCE!H25</f>
        <v>0</v>
      </c>
      <c r="M25" s="117">
        <f>[11]SOURCE!H25</f>
        <v>0</v>
      </c>
      <c r="N25" s="118">
        <f>[12]SOURCE!H25</f>
        <v>0</v>
      </c>
      <c r="O25" s="97">
        <f t="shared" si="2"/>
        <v>622.65</v>
      </c>
      <c r="P25" s="142">
        <f>457+110</f>
        <v>567</v>
      </c>
      <c r="Q25" s="122">
        <f t="shared" si="1"/>
        <v>55.649999999999977</v>
      </c>
      <c r="R25" s="152">
        <f t="shared" si="0"/>
        <v>1.0981481481481481</v>
      </c>
      <c r="S25" s="153"/>
      <c r="T25" s="153"/>
      <c r="U25" s="153"/>
      <c r="V25" s="153"/>
      <c r="W25" s="154"/>
      <c r="X25" s="149"/>
      <c r="Y25" s="150"/>
      <c r="Z25" s="150"/>
      <c r="AA25" s="150"/>
      <c r="AB25" s="150"/>
      <c r="AC25" s="151"/>
    </row>
    <row r="26" spans="2:29" ht="15.75" thickBot="1" x14ac:dyDescent="0.3">
      <c r="B26" s="93" t="s">
        <v>106</v>
      </c>
      <c r="C26" s="130">
        <f>[1]SOURCE!H26</f>
        <v>0</v>
      </c>
      <c r="D26" s="101">
        <f>[2]SOURCE!H26</f>
        <v>0</v>
      </c>
      <c r="E26" s="101">
        <f>[3]SOURCE!H26</f>
        <v>0</v>
      </c>
      <c r="F26" s="101">
        <f>[4]SOURCE!H26</f>
        <v>5.25</v>
      </c>
      <c r="G26" s="101">
        <f>[5]SOURCE!H26</f>
        <v>0</v>
      </c>
      <c r="H26" s="101">
        <f>[6]SOURCE!H26</f>
        <v>0</v>
      </c>
      <c r="I26" s="102">
        <f>[7]SOURCE!H26</f>
        <v>0</v>
      </c>
      <c r="J26" s="102">
        <f>[8]SOURCE!H26</f>
        <v>110.5</v>
      </c>
      <c r="K26" s="101">
        <f>[9]SOURCE!H26</f>
        <v>0</v>
      </c>
      <c r="L26" s="101">
        <f>[10]SOURCE!H26</f>
        <v>0</v>
      </c>
      <c r="M26" s="101">
        <f>[11]SOURCE!H26</f>
        <v>0</v>
      </c>
      <c r="N26" s="89">
        <f>[12]SOURCE!H26</f>
        <v>0</v>
      </c>
      <c r="O26" s="94">
        <f t="shared" si="2"/>
        <v>115.75</v>
      </c>
      <c r="P26" s="95">
        <v>180</v>
      </c>
      <c r="Q26" s="122">
        <f t="shared" si="1"/>
        <v>-64.25</v>
      </c>
      <c r="R26" s="143">
        <f t="shared" si="0"/>
        <v>0.6430555555555556</v>
      </c>
      <c r="S26" s="144"/>
      <c r="T26" s="144"/>
      <c r="U26" s="144"/>
      <c r="V26" s="144"/>
      <c r="W26" s="145"/>
      <c r="X26" s="146">
        <f>(O26+O27)/(P26+P27)</f>
        <v>0.8181930693069307</v>
      </c>
      <c r="Y26" s="147"/>
      <c r="Z26" s="147"/>
      <c r="AA26" s="147"/>
      <c r="AB26" s="147"/>
      <c r="AC26" s="148"/>
    </row>
    <row r="27" spans="2:29" ht="15.75" thickBot="1" x14ac:dyDescent="0.3">
      <c r="B27" s="96" t="s">
        <v>107</v>
      </c>
      <c r="C27" s="28">
        <f>[1]SOURCE!H27</f>
        <v>0</v>
      </c>
      <c r="D27" s="117">
        <f>[2]SOURCE!H27</f>
        <v>0</v>
      </c>
      <c r="E27" s="117">
        <f>[3]SOURCE!H27</f>
        <v>34</v>
      </c>
      <c r="F27" s="117">
        <f>[4]SOURCE!H27</f>
        <v>0</v>
      </c>
      <c r="G27" s="117">
        <f>[5]SOURCE!H27</f>
        <v>0</v>
      </c>
      <c r="H27" s="117">
        <f>[6]SOURCE!H27</f>
        <v>0</v>
      </c>
      <c r="I27" s="131">
        <f>[7]SOURCE!H27</f>
        <v>114</v>
      </c>
      <c r="J27" s="131">
        <f>[8]SOURCE!H27</f>
        <v>36.799999999999997</v>
      </c>
      <c r="K27" s="117">
        <f>[9]SOURCE!H27</f>
        <v>0</v>
      </c>
      <c r="L27" s="117">
        <f>[10]SOURCE!H27</f>
        <v>0</v>
      </c>
      <c r="M27" s="117">
        <f>[11]SOURCE!H27</f>
        <v>30</v>
      </c>
      <c r="N27" s="118">
        <f>[12]SOURCE!H27</f>
        <v>0</v>
      </c>
      <c r="O27" s="97">
        <f t="shared" si="2"/>
        <v>214.8</v>
      </c>
      <c r="P27" s="98">
        <v>224</v>
      </c>
      <c r="Q27" s="122">
        <f t="shared" si="1"/>
        <v>-9.1999999999999886</v>
      </c>
      <c r="R27" s="152">
        <f t="shared" si="0"/>
        <v>0.95892857142857146</v>
      </c>
      <c r="S27" s="153"/>
      <c r="T27" s="153"/>
      <c r="U27" s="153"/>
      <c r="V27" s="153"/>
      <c r="W27" s="154"/>
      <c r="X27" s="149"/>
      <c r="Y27" s="150"/>
      <c r="Z27" s="150"/>
      <c r="AA27" s="150"/>
      <c r="AB27" s="150"/>
      <c r="AC27" s="151"/>
    </row>
    <row r="28" spans="2:29" ht="15.75" thickBot="1" x14ac:dyDescent="0.3">
      <c r="B28" s="93" t="s">
        <v>108</v>
      </c>
      <c r="C28" s="130">
        <f>[1]SOURCE!H28</f>
        <v>0</v>
      </c>
      <c r="D28" s="101">
        <f>[2]SOURCE!H28</f>
        <v>0</v>
      </c>
      <c r="E28" s="101">
        <f>[3]SOURCE!H28</f>
        <v>0</v>
      </c>
      <c r="F28" s="101">
        <f>[4]SOURCE!H28</f>
        <v>0</v>
      </c>
      <c r="G28" s="101">
        <f>[5]SOURCE!H28</f>
        <v>0</v>
      </c>
      <c r="H28" s="101">
        <f>[6]SOURCE!H28</f>
        <v>0</v>
      </c>
      <c r="I28" s="102">
        <f>[7]SOURCE!H28</f>
        <v>0</v>
      </c>
      <c r="J28" s="102">
        <f>[8]SOURCE!H28</f>
        <v>134.5</v>
      </c>
      <c r="K28" s="101">
        <f>[9]SOURCE!H28</f>
        <v>39</v>
      </c>
      <c r="L28" s="101">
        <f>[10]SOURCE!H28</f>
        <v>0</v>
      </c>
      <c r="M28" s="101">
        <f>[11]SOURCE!H28</f>
        <v>0</v>
      </c>
      <c r="N28" s="89">
        <f>[12]SOURCE!H28</f>
        <v>0</v>
      </c>
      <c r="O28" s="94">
        <f t="shared" si="2"/>
        <v>173.5</v>
      </c>
      <c r="P28" s="95">
        <v>320</v>
      </c>
      <c r="Q28" s="122">
        <f t="shared" si="1"/>
        <v>-146.5</v>
      </c>
      <c r="R28" s="143">
        <f t="shared" si="0"/>
        <v>0.54218750000000004</v>
      </c>
      <c r="S28" s="144"/>
      <c r="T28" s="144"/>
      <c r="U28" s="144"/>
      <c r="V28" s="144"/>
      <c r="W28" s="145"/>
      <c r="X28" s="146">
        <f>(O28+O29)/(P28+P29)</f>
        <v>0.57779578606158832</v>
      </c>
      <c r="Y28" s="147"/>
      <c r="Z28" s="147"/>
      <c r="AA28" s="147"/>
      <c r="AB28" s="147"/>
      <c r="AC28" s="148"/>
    </row>
    <row r="29" spans="2:29" ht="15.75" thickBot="1" x14ac:dyDescent="0.3">
      <c r="B29" s="96" t="s">
        <v>109</v>
      </c>
      <c r="C29" s="28">
        <f>[1]SOURCE!H29</f>
        <v>0</v>
      </c>
      <c r="D29" s="117">
        <f>[2]SOURCE!H29</f>
        <v>88</v>
      </c>
      <c r="E29" s="117">
        <f>[3]SOURCE!H29</f>
        <v>21</v>
      </c>
      <c r="F29" s="117">
        <f>[4]SOURCE!H29</f>
        <v>0</v>
      </c>
      <c r="G29" s="117">
        <f>[5]SOURCE!H29</f>
        <v>32</v>
      </c>
      <c r="H29" s="117">
        <f>[6]SOURCE!H29</f>
        <v>0</v>
      </c>
      <c r="I29" s="131">
        <f>[7]SOURCE!H29</f>
        <v>0</v>
      </c>
      <c r="J29" s="131">
        <f>[8]SOURCE!H29</f>
        <v>0</v>
      </c>
      <c r="K29" s="117">
        <f>[9]SOURCE!H29</f>
        <v>0</v>
      </c>
      <c r="L29" s="117">
        <f>[10]SOURCE!H29</f>
        <v>0</v>
      </c>
      <c r="M29" s="117">
        <f>[11]SOURCE!H29</f>
        <v>42</v>
      </c>
      <c r="N29" s="118">
        <f>[12]SOURCE!H29</f>
        <v>0</v>
      </c>
      <c r="O29" s="97">
        <f t="shared" si="2"/>
        <v>183</v>
      </c>
      <c r="P29" s="98">
        <v>297</v>
      </c>
      <c r="Q29" s="122">
        <f t="shared" si="1"/>
        <v>-114</v>
      </c>
      <c r="R29" s="152">
        <f t="shared" si="0"/>
        <v>0.61616161616161613</v>
      </c>
      <c r="S29" s="153"/>
      <c r="T29" s="153"/>
      <c r="U29" s="153"/>
      <c r="V29" s="153"/>
      <c r="W29" s="154"/>
      <c r="X29" s="149"/>
      <c r="Y29" s="150"/>
      <c r="Z29" s="150"/>
      <c r="AA29" s="150"/>
      <c r="AB29" s="150"/>
      <c r="AC29" s="151"/>
    </row>
    <row r="30" spans="2:29" ht="15.75" thickBot="1" x14ac:dyDescent="0.3">
      <c r="B30" s="99" t="s">
        <v>110</v>
      </c>
      <c r="C30" s="130">
        <f>[1]SOURCE!H30</f>
        <v>0</v>
      </c>
      <c r="D30" s="101">
        <f>[2]SOURCE!H30</f>
        <v>0</v>
      </c>
      <c r="E30" s="101">
        <f>[3]SOURCE!H30</f>
        <v>0</v>
      </c>
      <c r="F30" s="101">
        <f>[4]SOURCE!H30</f>
        <v>0</v>
      </c>
      <c r="G30" s="101">
        <f>[5]SOURCE!H30</f>
        <v>0</v>
      </c>
      <c r="H30" s="101">
        <f>[6]SOURCE!H30</f>
        <v>0</v>
      </c>
      <c r="I30" s="102">
        <f>[7]SOURCE!H30</f>
        <v>0</v>
      </c>
      <c r="J30" s="102">
        <f>[8]SOURCE!H30</f>
        <v>88</v>
      </c>
      <c r="K30" s="101">
        <f>[9]SOURCE!H30</f>
        <v>0</v>
      </c>
      <c r="L30" s="101">
        <f>[10]SOURCE!H30</f>
        <v>0</v>
      </c>
      <c r="M30" s="101">
        <f>[11]SOURCE!H30</f>
        <v>0</v>
      </c>
      <c r="N30" s="89">
        <f>[12]SOURCE!H30</f>
        <v>0</v>
      </c>
      <c r="O30" s="100">
        <f t="shared" si="2"/>
        <v>88</v>
      </c>
      <c r="P30" s="95">
        <v>251</v>
      </c>
      <c r="Q30" s="122">
        <f t="shared" si="1"/>
        <v>-163</v>
      </c>
      <c r="R30" s="143">
        <f t="shared" si="0"/>
        <v>0.35059760956175301</v>
      </c>
      <c r="S30" s="144"/>
      <c r="T30" s="144"/>
      <c r="U30" s="144"/>
      <c r="V30" s="144"/>
      <c r="W30" s="145"/>
      <c r="X30" s="146">
        <f>(O30+O31)/(P30+P31)</f>
        <v>0.76489563567362429</v>
      </c>
      <c r="Y30" s="147"/>
      <c r="Z30" s="147"/>
      <c r="AA30" s="147"/>
      <c r="AB30" s="147"/>
      <c r="AC30" s="148"/>
    </row>
    <row r="31" spans="2:29" ht="15.75" thickBot="1" x14ac:dyDescent="0.3">
      <c r="B31" s="96" t="s">
        <v>111</v>
      </c>
      <c r="C31" s="28">
        <f>[1]SOURCE!H31</f>
        <v>222</v>
      </c>
      <c r="D31" s="105">
        <f>[2]SOURCE!H31</f>
        <v>4.5</v>
      </c>
      <c r="E31" s="105">
        <f>[3]SOURCE!H31</f>
        <v>0</v>
      </c>
      <c r="F31" s="105">
        <f>[4]SOURCE!H31</f>
        <v>0</v>
      </c>
      <c r="G31" s="105">
        <f>[5]SOURCE!H31</f>
        <v>34.6</v>
      </c>
      <c r="H31" s="105">
        <f>[6]SOURCE!H31</f>
        <v>0</v>
      </c>
      <c r="I31" s="106">
        <f>[7]SOURCE!H31</f>
        <v>0</v>
      </c>
      <c r="J31" s="106">
        <f>[8]SOURCE!H31</f>
        <v>12</v>
      </c>
      <c r="K31" s="105">
        <f>[9]SOURCE!H31</f>
        <v>0</v>
      </c>
      <c r="L31" s="105">
        <f>[10]SOURCE!H31</f>
        <v>0</v>
      </c>
      <c r="M31" s="105">
        <f>[11]SOURCE!H31</f>
        <v>42</v>
      </c>
      <c r="N31" s="29">
        <f>[12]SOURCE!H31</f>
        <v>0</v>
      </c>
      <c r="O31" s="97">
        <f t="shared" si="2"/>
        <v>315.10000000000002</v>
      </c>
      <c r="P31" s="98">
        <v>276</v>
      </c>
      <c r="Q31" s="122">
        <f t="shared" si="1"/>
        <v>39.100000000000023</v>
      </c>
      <c r="R31" s="152">
        <f t="shared" si="0"/>
        <v>1.1416666666666668</v>
      </c>
      <c r="S31" s="153"/>
      <c r="T31" s="153"/>
      <c r="U31" s="153"/>
      <c r="V31" s="153"/>
      <c r="W31" s="154"/>
      <c r="X31" s="149"/>
      <c r="Y31" s="150"/>
      <c r="Z31" s="150"/>
      <c r="AA31" s="150"/>
      <c r="AB31" s="150"/>
      <c r="AC31" s="151"/>
    </row>
    <row r="32" spans="2:29" ht="19.5" thickBot="1" x14ac:dyDescent="0.35">
      <c r="B32" s="155" t="s">
        <v>37</v>
      </c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7"/>
    </row>
    <row r="33" spans="2:28" ht="15.75" thickBot="1" x14ac:dyDescent="0.3">
      <c r="B33" s="125" t="s">
        <v>113</v>
      </c>
      <c r="C33" s="123">
        <f>[1]SOURCE!H34</f>
        <v>0</v>
      </c>
      <c r="D33" s="101">
        <f>[2]SOURCE!H34</f>
        <v>4.5</v>
      </c>
      <c r="E33" s="101">
        <f>[3]SOURCE!H34</f>
        <v>3</v>
      </c>
      <c r="F33" s="101">
        <f>[4]SOURCE!H34</f>
        <v>55.75</v>
      </c>
      <c r="G33" s="101">
        <f>[5]SOURCE!H34</f>
        <v>0</v>
      </c>
      <c r="H33" s="101">
        <f>[6]SOURCE!H34</f>
        <v>58</v>
      </c>
      <c r="I33" s="101">
        <f>[7]SOURCE!H34</f>
        <v>0</v>
      </c>
      <c r="J33" s="101">
        <f>[8]SOURCE!H34</f>
        <v>0</v>
      </c>
      <c r="K33" s="101">
        <f>[9]SOURCE!H34</f>
        <v>3</v>
      </c>
      <c r="L33" s="101">
        <f>[10]SOURCE!H34</f>
        <v>0</v>
      </c>
      <c r="M33" s="101">
        <f>[11]SOURCE!H34</f>
        <v>0</v>
      </c>
      <c r="N33" s="89">
        <f>[12]SOURCE!H34</f>
        <v>3.5</v>
      </c>
      <c r="O33" s="94">
        <f>SUM(C33:N33)</f>
        <v>127.75</v>
      </c>
    </row>
    <row r="34" spans="2:28" ht="15.75" thickBot="1" x14ac:dyDescent="0.3">
      <c r="B34" s="126" t="s">
        <v>14</v>
      </c>
      <c r="C34" s="124">
        <f>[1]SOURCE!H35</f>
        <v>0</v>
      </c>
      <c r="D34" s="103">
        <f>[2]SOURCE!H35</f>
        <v>0</v>
      </c>
      <c r="E34" s="103">
        <f>[3]SOURCE!H35</f>
        <v>0</v>
      </c>
      <c r="F34" s="103">
        <f>[4]SOURCE!H35</f>
        <v>0</v>
      </c>
      <c r="G34" s="103">
        <f>[5]SOURCE!H35</f>
        <v>0</v>
      </c>
      <c r="H34" s="103">
        <f>[6]SOURCE!H35</f>
        <v>0</v>
      </c>
      <c r="I34" s="103">
        <f>[7]SOURCE!H35</f>
        <v>0</v>
      </c>
      <c r="J34" s="103">
        <f>[8]SOURCE!H35</f>
        <v>0</v>
      </c>
      <c r="K34" s="103">
        <f>[9]SOURCE!H35</f>
        <v>402.5</v>
      </c>
      <c r="L34" s="103">
        <f>[10]SOURCE!H35</f>
        <v>3</v>
      </c>
      <c r="M34" s="103">
        <f>[11]SOURCE!H35</f>
        <v>0</v>
      </c>
      <c r="N34" s="27">
        <f>[12]SOURCE!H35</f>
        <v>0</v>
      </c>
      <c r="O34" s="100">
        <f t="shared" ref="O34:O39" si="3">SUM(C34:N34)</f>
        <v>405.5</v>
      </c>
      <c r="W34" s="166" t="s">
        <v>152</v>
      </c>
      <c r="X34" s="167"/>
      <c r="Y34" s="167"/>
      <c r="Z34" s="167"/>
      <c r="AA34" s="167"/>
      <c r="AB34" s="168"/>
    </row>
    <row r="35" spans="2:28" x14ac:dyDescent="0.25">
      <c r="B35" s="126" t="s">
        <v>15</v>
      </c>
      <c r="C35" s="124">
        <f>[1]SOURCE!H36</f>
        <v>0</v>
      </c>
      <c r="D35" s="103">
        <f>[2]SOURCE!H36</f>
        <v>0</v>
      </c>
      <c r="E35" s="103">
        <f>[3]SOURCE!H36</f>
        <v>2.5</v>
      </c>
      <c r="F35" s="103">
        <f>[4]SOURCE!H36</f>
        <v>0</v>
      </c>
      <c r="G35" s="103">
        <f>[5]SOURCE!H36</f>
        <v>0</v>
      </c>
      <c r="H35" s="103">
        <f>[6]SOURCE!H36</f>
        <v>0</v>
      </c>
      <c r="I35" s="103">
        <f>[7]SOURCE!H36</f>
        <v>0</v>
      </c>
      <c r="J35" s="103">
        <f>[8]SOURCE!H36</f>
        <v>0</v>
      </c>
      <c r="K35" s="103">
        <f>[9]SOURCE!H36</f>
        <v>20.5</v>
      </c>
      <c r="L35" s="103">
        <f>[10]SOURCE!H36</f>
        <v>36</v>
      </c>
      <c r="M35" s="103">
        <f>[11]SOURCE!H36</f>
        <v>0</v>
      </c>
      <c r="N35" s="27">
        <f>[12]SOURCE!H36</f>
        <v>1</v>
      </c>
      <c r="O35" s="100">
        <f t="shared" si="3"/>
        <v>60</v>
      </c>
      <c r="R35" s="162" t="s">
        <v>151</v>
      </c>
      <c r="S35" s="162"/>
      <c r="T35" s="162" t="s">
        <v>150</v>
      </c>
      <c r="U35" s="162"/>
      <c r="W35" s="169">
        <f>R36/T36</f>
        <v>0.99925334398083454</v>
      </c>
      <c r="X35" s="147"/>
      <c r="Y35" s="147"/>
      <c r="Z35" s="147"/>
      <c r="AA35" s="147"/>
      <c r="AB35" s="148"/>
    </row>
    <row r="36" spans="2:28" ht="15.75" thickBot="1" x14ac:dyDescent="0.3">
      <c r="B36" s="127" t="s">
        <v>4</v>
      </c>
      <c r="C36" s="124">
        <f>[1]SOURCE!H37</f>
        <v>608</v>
      </c>
      <c r="D36" s="103">
        <f>[2]SOURCE!H37</f>
        <v>960.25</v>
      </c>
      <c r="E36" s="103">
        <f>[3]SOURCE!H37</f>
        <v>956.5</v>
      </c>
      <c r="F36" s="103">
        <f>[4]SOURCE!H37</f>
        <v>418.65999999999997</v>
      </c>
      <c r="G36" s="103">
        <f>[5]SOURCE!H37</f>
        <v>898.55000000000007</v>
      </c>
      <c r="H36" s="103">
        <f>[6]SOURCE!H37</f>
        <v>340</v>
      </c>
      <c r="I36" s="103">
        <f>[7]SOURCE!H37</f>
        <v>841.55</v>
      </c>
      <c r="J36" s="103">
        <f>[8]SOURCE!H37</f>
        <v>512.79999999999995</v>
      </c>
      <c r="K36" s="103">
        <f>[9]SOURCE!H37</f>
        <v>169.5</v>
      </c>
      <c r="L36" s="103">
        <f>[10]SOURCE!H37</f>
        <v>337.8</v>
      </c>
      <c r="M36" s="103">
        <f>[11]SOURCE!H37</f>
        <v>985</v>
      </c>
      <c r="N36" s="27">
        <f>[12]SOURCE!H37</f>
        <v>281.8</v>
      </c>
      <c r="O36" s="109">
        <f t="shared" si="3"/>
        <v>7310.4100000000008</v>
      </c>
      <c r="R36" s="164">
        <f>SUM(O4:O31)</f>
        <v>7507.89</v>
      </c>
      <c r="S36" s="165"/>
      <c r="T36" s="163">
        <f>SUM(P4:P31)</f>
        <v>7513.5</v>
      </c>
      <c r="U36" s="163"/>
      <c r="W36" s="170"/>
      <c r="X36" s="150"/>
      <c r="Y36" s="150"/>
      <c r="Z36" s="150"/>
      <c r="AA36" s="150"/>
      <c r="AB36" s="151"/>
    </row>
    <row r="37" spans="2:28" x14ac:dyDescent="0.25">
      <c r="B37" s="126" t="s">
        <v>12</v>
      </c>
      <c r="C37" s="124">
        <f>[1]SOURCE!H38</f>
        <v>0</v>
      </c>
      <c r="D37" s="103">
        <f>[2]SOURCE!H38</f>
        <v>0</v>
      </c>
      <c r="E37" s="103">
        <f>[3]SOURCE!H38</f>
        <v>0</v>
      </c>
      <c r="F37" s="103">
        <f>[4]SOURCE!H38</f>
        <v>0</v>
      </c>
      <c r="G37" s="103">
        <f>[5]SOURCE!H38</f>
        <v>0</v>
      </c>
      <c r="H37" s="103">
        <f>[6]SOURCE!H38</f>
        <v>0</v>
      </c>
      <c r="I37" s="103">
        <f>[7]SOURCE!H38</f>
        <v>0</v>
      </c>
      <c r="J37" s="103">
        <f>[8]SOURCE!H38</f>
        <v>0</v>
      </c>
      <c r="K37" s="103">
        <f>[9]SOURCE!H38</f>
        <v>0</v>
      </c>
      <c r="L37" s="103">
        <f>[10]SOURCE!H38</f>
        <v>0</v>
      </c>
      <c r="M37" s="103">
        <f>[11]SOURCE!H38</f>
        <v>0</v>
      </c>
      <c r="N37" s="27">
        <f>[12]SOURCE!H38</f>
        <v>0</v>
      </c>
      <c r="O37" s="110">
        <f t="shared" si="3"/>
        <v>0</v>
      </c>
    </row>
    <row r="38" spans="2:28" x14ac:dyDescent="0.25">
      <c r="B38" s="126" t="s">
        <v>145</v>
      </c>
      <c r="C38" s="124">
        <f>[1]SOURCE!H39</f>
        <v>0</v>
      </c>
      <c r="D38" s="103">
        <f>[2]SOURCE!H39</f>
        <v>42</v>
      </c>
      <c r="E38" s="103">
        <f>[3]SOURCE!H39</f>
        <v>1.5</v>
      </c>
      <c r="F38" s="103">
        <f>[4]SOURCE!H39</f>
        <v>30.75</v>
      </c>
      <c r="G38" s="103">
        <f>[5]SOURCE!H39</f>
        <v>2.75</v>
      </c>
      <c r="H38" s="103">
        <f>[6]SOURCE!H39</f>
        <v>3</v>
      </c>
      <c r="I38" s="103">
        <f>[7]SOURCE!H39</f>
        <v>2</v>
      </c>
      <c r="J38" s="103">
        <f>[8]SOURCE!H39</f>
        <v>0</v>
      </c>
      <c r="K38" s="103">
        <f>[9]SOURCE!H39</f>
        <v>9.5</v>
      </c>
      <c r="L38" s="103">
        <f>[10]SOURCE!H39</f>
        <v>0</v>
      </c>
      <c r="M38" s="103">
        <f>[11]SOURCE!H39</f>
        <v>8</v>
      </c>
      <c r="N38" s="27">
        <f>[12]SOURCE!H39</f>
        <v>2.5</v>
      </c>
      <c r="O38" s="110">
        <f>SUM(C38:N38)</f>
        <v>102</v>
      </c>
    </row>
    <row r="39" spans="2:28" ht="15.75" thickBot="1" x14ac:dyDescent="0.3">
      <c r="B39" s="128" t="s">
        <v>146</v>
      </c>
      <c r="C39" s="28">
        <f>[1]SOURCE!H40</f>
        <v>0</v>
      </c>
      <c r="D39" s="105">
        <f>[2]SOURCE!H40</f>
        <v>6.5</v>
      </c>
      <c r="E39" s="105">
        <f>[3]SOURCE!H40</f>
        <v>6.5</v>
      </c>
      <c r="F39" s="105">
        <f>[4]SOURCE!H40</f>
        <v>0</v>
      </c>
      <c r="G39" s="105">
        <f>[5]SOURCE!H40</f>
        <v>6.5</v>
      </c>
      <c r="H39" s="105">
        <f>[6]SOURCE!H40</f>
        <v>6</v>
      </c>
      <c r="I39" s="105">
        <f>[7]SOURCE!H40</f>
        <v>0</v>
      </c>
      <c r="J39" s="105">
        <f>[8]SOURCE!H40</f>
        <v>0</v>
      </c>
      <c r="K39" s="105">
        <f>[9]SOURCE!H40</f>
        <v>6</v>
      </c>
      <c r="L39" s="105">
        <f>[10]SOURCE!H40</f>
        <v>0</v>
      </c>
      <c r="M39" s="105">
        <f>[11]SOURCE!H40</f>
        <v>0</v>
      </c>
      <c r="N39" s="29">
        <f>[12]SOURCE!H40</f>
        <v>6.5</v>
      </c>
      <c r="O39" s="97">
        <f t="shared" si="3"/>
        <v>38</v>
      </c>
    </row>
    <row r="40" spans="2:28" ht="15.75" thickBot="1" x14ac:dyDescent="0.3">
      <c r="B40" s="120" t="s">
        <v>10</v>
      </c>
      <c r="C40" s="119">
        <f>SUM(C33:C39)</f>
        <v>608</v>
      </c>
      <c r="D40" s="119">
        <f t="shared" ref="D40:N40" si="4">SUM(D33:D39)</f>
        <v>1013.25</v>
      </c>
      <c r="E40" s="119">
        <f t="shared" si="4"/>
        <v>970</v>
      </c>
      <c r="F40" s="119">
        <f t="shared" si="4"/>
        <v>505.15999999999997</v>
      </c>
      <c r="G40" s="119">
        <f t="shared" si="4"/>
        <v>907.80000000000007</v>
      </c>
      <c r="H40" s="119">
        <f t="shared" si="4"/>
        <v>407</v>
      </c>
      <c r="I40" s="119">
        <f t="shared" si="4"/>
        <v>843.55</v>
      </c>
      <c r="J40" s="119">
        <f t="shared" si="4"/>
        <v>512.79999999999995</v>
      </c>
      <c r="K40" s="119">
        <f t="shared" si="4"/>
        <v>611</v>
      </c>
      <c r="L40" s="119">
        <f t="shared" si="4"/>
        <v>376.8</v>
      </c>
      <c r="M40" s="119">
        <f t="shared" si="4"/>
        <v>993</v>
      </c>
      <c r="N40" s="119">
        <f t="shared" si="4"/>
        <v>295.3</v>
      </c>
      <c r="O40" s="109"/>
    </row>
    <row r="41" spans="2:28" ht="19.5" thickBot="1" x14ac:dyDescent="0.3">
      <c r="B41" s="158" t="s">
        <v>126</v>
      </c>
      <c r="C41" s="159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1"/>
    </row>
    <row r="42" spans="2:28" x14ac:dyDescent="0.25">
      <c r="B42" s="125" t="s">
        <v>113</v>
      </c>
      <c r="C42" s="129">
        <f>[1]SOURCE!H43</f>
        <v>0</v>
      </c>
      <c r="D42" s="101">
        <f>[2]SOURCE!H43</f>
        <v>0</v>
      </c>
      <c r="E42" s="101">
        <f>[3]SOURCE!H43</f>
        <v>0</v>
      </c>
      <c r="F42" s="101">
        <f>[4]SOURCE!H43</f>
        <v>5</v>
      </c>
      <c r="G42" s="101">
        <f>[5]SOURCE!H43</f>
        <v>0</v>
      </c>
      <c r="H42" s="101">
        <f>[6]SOURCE!H43</f>
        <v>0</v>
      </c>
      <c r="I42" s="101">
        <f>[7]SOURCE!H43</f>
        <v>0</v>
      </c>
      <c r="J42" s="101">
        <f>[8]SOURCE!H43</f>
        <v>0</v>
      </c>
      <c r="K42" s="101">
        <f>[9]SOURCE!H43</f>
        <v>0</v>
      </c>
      <c r="L42" s="101">
        <f>[10]SOURCE!H43</f>
        <v>0</v>
      </c>
      <c r="M42" s="101">
        <f>[11]SOURCE!H43</f>
        <v>0</v>
      </c>
      <c r="N42" s="102">
        <f>[12]SOURCE!H43</f>
        <v>0</v>
      </c>
      <c r="O42" s="12">
        <f>SUM(C42:N42)</f>
        <v>5</v>
      </c>
    </row>
    <row r="43" spans="2:28" x14ac:dyDescent="0.25">
      <c r="B43" s="126" t="s">
        <v>14</v>
      </c>
      <c r="C43" s="124">
        <f>[1]SOURCE!H44</f>
        <v>0</v>
      </c>
      <c r="D43" s="103">
        <f>[2]SOURCE!H44</f>
        <v>0</v>
      </c>
      <c r="E43" s="103">
        <f>[3]SOURCE!H44</f>
        <v>0</v>
      </c>
      <c r="F43" s="103">
        <f>[4]SOURCE!H44</f>
        <v>0</v>
      </c>
      <c r="G43" s="103">
        <f>[5]SOURCE!H44</f>
        <v>0</v>
      </c>
      <c r="H43" s="103">
        <f>[6]SOURCE!H44</f>
        <v>0</v>
      </c>
      <c r="I43" s="103">
        <f>[7]SOURCE!H44</f>
        <v>0</v>
      </c>
      <c r="J43" s="103">
        <f>[8]SOURCE!H44</f>
        <v>0</v>
      </c>
      <c r="K43" s="103">
        <f>[9]SOURCE!H44</f>
        <v>0</v>
      </c>
      <c r="L43" s="103">
        <f>[10]SOURCE!H44</f>
        <v>10</v>
      </c>
      <c r="M43" s="103">
        <f>[11]SOURCE!H44</f>
        <v>0</v>
      </c>
      <c r="N43" s="104">
        <f>[12]SOURCE!H44</f>
        <v>0</v>
      </c>
      <c r="O43" s="13">
        <f t="shared" ref="O43:O48" si="5">SUM(C43:N43)</f>
        <v>10</v>
      </c>
    </row>
    <row r="44" spans="2:28" x14ac:dyDescent="0.25">
      <c r="B44" s="126" t="s">
        <v>15</v>
      </c>
      <c r="C44" s="124">
        <f>[1]SOURCE!H45</f>
        <v>0</v>
      </c>
      <c r="D44" s="103">
        <f>[2]SOURCE!H45</f>
        <v>0</v>
      </c>
      <c r="E44" s="103">
        <f>[3]SOURCE!H45</f>
        <v>0</v>
      </c>
      <c r="F44" s="103">
        <f>[4]SOURCE!H45</f>
        <v>0</v>
      </c>
      <c r="G44" s="103">
        <f>[5]SOURCE!H45</f>
        <v>0</v>
      </c>
      <c r="H44" s="103">
        <f>[6]SOURCE!H45</f>
        <v>0</v>
      </c>
      <c r="I44" s="103">
        <f>[7]SOURCE!H45</f>
        <v>0</v>
      </c>
      <c r="J44" s="103">
        <f>[8]SOURCE!H45</f>
        <v>0</v>
      </c>
      <c r="K44" s="103">
        <f>[9]SOURCE!H45</f>
        <v>8</v>
      </c>
      <c r="L44" s="103">
        <f>[10]SOURCE!H45</f>
        <v>2</v>
      </c>
      <c r="M44" s="103">
        <f>[11]SOURCE!H45</f>
        <v>0</v>
      </c>
      <c r="N44" s="104">
        <f>[12]SOURCE!H45</f>
        <v>0</v>
      </c>
      <c r="O44" s="13">
        <f t="shared" si="5"/>
        <v>10</v>
      </c>
    </row>
    <row r="45" spans="2:28" x14ac:dyDescent="0.25">
      <c r="B45" s="126" t="s">
        <v>4</v>
      </c>
      <c r="C45" s="124">
        <f>[1]SOURCE!H46</f>
        <v>0</v>
      </c>
      <c r="D45" s="103">
        <f>[2]SOURCE!H46</f>
        <v>0</v>
      </c>
      <c r="E45" s="103">
        <f>[3]SOURCE!H46</f>
        <v>0</v>
      </c>
      <c r="F45" s="103">
        <f>[4]SOURCE!H46</f>
        <v>0</v>
      </c>
      <c r="G45" s="103">
        <f>[5]SOURCE!H46</f>
        <v>0</v>
      </c>
      <c r="H45" s="103">
        <f>[6]SOURCE!H46</f>
        <v>0</v>
      </c>
      <c r="I45" s="103">
        <f>[7]SOURCE!H46</f>
        <v>0</v>
      </c>
      <c r="J45" s="103">
        <f>[8]SOURCE!H46</f>
        <v>0</v>
      </c>
      <c r="K45" s="103">
        <f>[9]SOURCE!H46</f>
        <v>0</v>
      </c>
      <c r="L45" s="103">
        <f>[10]SOURCE!H46</f>
        <v>0</v>
      </c>
      <c r="M45" s="103">
        <f>[11]SOURCE!H46</f>
        <v>0</v>
      </c>
      <c r="N45" s="104">
        <f>[12]SOURCE!H46</f>
        <v>0</v>
      </c>
      <c r="O45" s="13">
        <f t="shared" si="5"/>
        <v>0</v>
      </c>
    </row>
    <row r="46" spans="2:28" x14ac:dyDescent="0.25">
      <c r="B46" s="126" t="s">
        <v>12</v>
      </c>
      <c r="C46" s="124">
        <f>[1]SOURCE!H47</f>
        <v>0</v>
      </c>
      <c r="D46" s="103">
        <f>[2]SOURCE!H47</f>
        <v>0</v>
      </c>
      <c r="E46" s="103">
        <f>[3]SOURCE!H47</f>
        <v>0</v>
      </c>
      <c r="F46" s="103">
        <f>[4]SOURCE!H47</f>
        <v>20.5</v>
      </c>
      <c r="G46" s="103">
        <f>[5]SOURCE!H47</f>
        <v>0</v>
      </c>
      <c r="H46" s="103">
        <f>[6]SOURCE!H47</f>
        <v>0</v>
      </c>
      <c r="I46" s="103">
        <f>[7]SOURCE!H47</f>
        <v>0</v>
      </c>
      <c r="J46" s="103">
        <f>[8]SOURCE!H47</f>
        <v>0</v>
      </c>
      <c r="K46" s="103">
        <f>[9]SOURCE!H47</f>
        <v>0</v>
      </c>
      <c r="L46" s="103">
        <f>[10]SOURCE!H47</f>
        <v>0</v>
      </c>
      <c r="M46" s="103">
        <f>[11]SOURCE!H47</f>
        <v>0</v>
      </c>
      <c r="N46" s="104">
        <f>[12]SOURCE!H47</f>
        <v>0</v>
      </c>
      <c r="O46" s="13">
        <f t="shared" si="5"/>
        <v>20.5</v>
      </c>
    </row>
    <row r="47" spans="2:28" x14ac:dyDescent="0.25">
      <c r="B47" s="126" t="s">
        <v>145</v>
      </c>
      <c r="C47" s="124">
        <f>[1]SOURCE!H48</f>
        <v>0</v>
      </c>
      <c r="D47" s="103">
        <f>[2]SOURCE!H48</f>
        <v>0</v>
      </c>
      <c r="E47" s="103">
        <f>[3]SOURCE!H48</f>
        <v>1.5</v>
      </c>
      <c r="F47" s="103">
        <f>[4]SOURCE!H48</f>
        <v>0</v>
      </c>
      <c r="G47" s="103">
        <f>[5]SOURCE!H48</f>
        <v>0</v>
      </c>
      <c r="H47" s="103">
        <f>[6]SOURCE!H48</f>
        <v>0</v>
      </c>
      <c r="I47" s="103">
        <f>[7]SOURCE!H48</f>
        <v>2</v>
      </c>
      <c r="J47" s="103">
        <f>[8]SOURCE!H48</f>
        <v>0</v>
      </c>
      <c r="K47" s="103">
        <f>[9]SOURCE!H48</f>
        <v>0</v>
      </c>
      <c r="L47" s="103">
        <f>[10]SOURCE!H48</f>
        <v>3</v>
      </c>
      <c r="M47" s="103">
        <f>[11]SOURCE!H48</f>
        <v>0</v>
      </c>
      <c r="N47" s="104">
        <f>[12]SOURCE!H48</f>
        <v>0</v>
      </c>
      <c r="O47" s="13">
        <f t="shared" si="5"/>
        <v>6.5</v>
      </c>
    </row>
    <row r="48" spans="2:28" ht="15.75" thickBot="1" x14ac:dyDescent="0.3">
      <c r="B48" s="128" t="s">
        <v>146</v>
      </c>
      <c r="C48" s="98">
        <f>[1]SOURCE!H49</f>
        <v>0</v>
      </c>
      <c r="D48" s="105">
        <f>[2]SOURCE!H49</f>
        <v>0</v>
      </c>
      <c r="E48" s="105">
        <f>[3]SOURCE!H49</f>
        <v>74</v>
      </c>
      <c r="F48" s="105">
        <f>[4]SOURCE!H49</f>
        <v>0</v>
      </c>
      <c r="G48" s="105">
        <f>[5]SOURCE!H49</f>
        <v>74</v>
      </c>
      <c r="H48" s="105">
        <f>[6]SOURCE!H49</f>
        <v>0</v>
      </c>
      <c r="I48" s="105">
        <f>[7]SOURCE!H49</f>
        <v>0</v>
      </c>
      <c r="J48" s="103">
        <f>[8]SOURCE!H49</f>
        <v>0</v>
      </c>
      <c r="K48" s="105">
        <f>[9]SOURCE!H49</f>
        <v>74</v>
      </c>
      <c r="L48" s="105">
        <f>[10]SOURCE!H49</f>
        <v>0</v>
      </c>
      <c r="M48" s="105">
        <f>[11]SOURCE!H49</f>
        <v>0</v>
      </c>
      <c r="N48" s="106">
        <f>[12]SOURCE!H49</f>
        <v>51.8</v>
      </c>
      <c r="O48" s="14">
        <f t="shared" si="5"/>
        <v>273.8</v>
      </c>
    </row>
    <row r="50" spans="1:3" ht="15.75" thickBot="1" x14ac:dyDescent="0.3"/>
    <row r="51" spans="1:3" x14ac:dyDescent="0.25">
      <c r="A51" s="132"/>
      <c r="B51" s="133" t="s">
        <v>157</v>
      </c>
      <c r="C51" s="134"/>
    </row>
    <row r="52" spans="1:3" x14ac:dyDescent="0.25">
      <c r="A52" s="135">
        <v>1</v>
      </c>
      <c r="B52" s="4">
        <v>200</v>
      </c>
      <c r="C52" s="136" t="s">
        <v>158</v>
      </c>
    </row>
    <row r="53" spans="1:3" ht="30" x14ac:dyDescent="0.25">
      <c r="A53" s="135">
        <v>2</v>
      </c>
      <c r="B53" s="4">
        <v>150</v>
      </c>
      <c r="C53" s="139" t="s">
        <v>159</v>
      </c>
    </row>
    <row r="54" spans="1:3" x14ac:dyDescent="0.25">
      <c r="A54" s="135">
        <v>3</v>
      </c>
      <c r="B54" s="4">
        <v>542.5</v>
      </c>
      <c r="C54" s="136" t="s">
        <v>160</v>
      </c>
    </row>
    <row r="55" spans="1:3" x14ac:dyDescent="0.25">
      <c r="A55" s="135"/>
      <c r="B55" s="4"/>
      <c r="C55" s="136"/>
    </row>
    <row r="56" spans="1:3" x14ac:dyDescent="0.25">
      <c r="A56" s="135"/>
      <c r="B56" s="4"/>
      <c r="C56" s="136"/>
    </row>
    <row r="57" spans="1:3" x14ac:dyDescent="0.25">
      <c r="A57" s="135"/>
      <c r="B57" s="4"/>
      <c r="C57" s="136"/>
    </row>
    <row r="58" spans="1:3" x14ac:dyDescent="0.25">
      <c r="A58" s="135"/>
      <c r="B58" s="4"/>
      <c r="C58" s="136"/>
    </row>
    <row r="59" spans="1:3" ht="15.75" thickBot="1" x14ac:dyDescent="0.3">
      <c r="A59" s="137"/>
      <c r="B59" s="140"/>
      <c r="C59" s="138"/>
    </row>
  </sheetData>
  <mergeCells count="53">
    <mergeCell ref="R6:W6"/>
    <mergeCell ref="X6:AC7"/>
    <mergeCell ref="R7:W7"/>
    <mergeCell ref="R8:W8"/>
    <mergeCell ref="X8:AC9"/>
    <mergeCell ref="R9:W9"/>
    <mergeCell ref="B2:AC2"/>
    <mergeCell ref="R3:W3"/>
    <mergeCell ref="X3:AC3"/>
    <mergeCell ref="R4:W4"/>
    <mergeCell ref="X4:AC5"/>
    <mergeCell ref="R5:W5"/>
    <mergeCell ref="X10:AC11"/>
    <mergeCell ref="R11:W11"/>
    <mergeCell ref="R12:W12"/>
    <mergeCell ref="X12:AC13"/>
    <mergeCell ref="R13:W13"/>
    <mergeCell ref="R10:W10"/>
    <mergeCell ref="R14:W14"/>
    <mergeCell ref="X14:AC15"/>
    <mergeCell ref="R15:W15"/>
    <mergeCell ref="R16:W16"/>
    <mergeCell ref="X16:AC17"/>
    <mergeCell ref="R17:W17"/>
    <mergeCell ref="R18:W18"/>
    <mergeCell ref="X18:AC19"/>
    <mergeCell ref="R19:W19"/>
    <mergeCell ref="R20:W20"/>
    <mergeCell ref="X20:AC21"/>
    <mergeCell ref="R21:W21"/>
    <mergeCell ref="R22:W22"/>
    <mergeCell ref="X22:AC23"/>
    <mergeCell ref="R23:W23"/>
    <mergeCell ref="R24:W24"/>
    <mergeCell ref="X24:AC25"/>
    <mergeCell ref="R25:W25"/>
    <mergeCell ref="R26:W26"/>
    <mergeCell ref="X26:AC27"/>
    <mergeCell ref="R27:W27"/>
    <mergeCell ref="R28:W28"/>
    <mergeCell ref="X28:AC29"/>
    <mergeCell ref="R29:W29"/>
    <mergeCell ref="R30:W30"/>
    <mergeCell ref="X30:AC31"/>
    <mergeCell ref="R31:W31"/>
    <mergeCell ref="B32:O32"/>
    <mergeCell ref="B41:O41"/>
    <mergeCell ref="T35:U35"/>
    <mergeCell ref="T36:U36"/>
    <mergeCell ref="R35:S35"/>
    <mergeCell ref="R36:S36"/>
    <mergeCell ref="W34:AB34"/>
    <mergeCell ref="W35:AB36"/>
  </mergeCells>
  <conditionalFormatting sqref="R4:AC19">
    <cfRule type="dataBar" priority="22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{AF7D454A-88D0-4B76-900F-EE979479C8C9}</x14:id>
        </ext>
      </extLst>
    </cfRule>
  </conditionalFormatting>
  <conditionalFormatting sqref="R20:AC21">
    <cfRule type="dataBar" priority="21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{F891B881-F350-40A5-BFF4-02177DA59DF9}</x14:id>
        </ext>
      </extLst>
    </cfRule>
  </conditionalFormatting>
  <conditionalFormatting sqref="R22:AC23">
    <cfRule type="dataBar" priority="20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{DA7C16E1-F8CE-42C6-955C-6072F39EE03A}</x14:id>
        </ext>
      </extLst>
    </cfRule>
  </conditionalFormatting>
  <conditionalFormatting sqref="R24:AC25">
    <cfRule type="dataBar" priority="19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{E55ABE39-BB06-4999-900A-2901FDE40CAB}</x14:id>
        </ext>
      </extLst>
    </cfRule>
  </conditionalFormatting>
  <conditionalFormatting sqref="R26:AC27">
    <cfRule type="dataBar" priority="18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{DC3BC9FD-A400-40CF-AB6A-C2D40F897EB7}</x14:id>
        </ext>
      </extLst>
    </cfRule>
  </conditionalFormatting>
  <conditionalFormatting sqref="R28:AC29">
    <cfRule type="dataBar" priority="17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{B8483054-C3B2-4B96-A495-F4975D083222}</x14:id>
        </ext>
      </extLst>
    </cfRule>
  </conditionalFormatting>
  <conditionalFormatting sqref="R30:AC31">
    <cfRule type="dataBar" priority="16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{83E2D91B-1154-460B-ABD4-2BF052828DA2}</x14:id>
        </ext>
      </extLst>
    </cfRule>
  </conditionalFormatting>
  <conditionalFormatting sqref="C42:N48">
    <cfRule type="cellIs" dxfId="3" priority="15" operator="notEqual">
      <formula>0</formula>
    </cfRule>
  </conditionalFormatting>
  <conditionalFormatting sqref="C33:N40">
    <cfRule type="cellIs" dxfId="2" priority="12" operator="notEqual">
      <formula>0</formula>
    </cfRule>
  </conditionalFormatting>
  <conditionalFormatting sqref="C4:N31">
    <cfRule type="cellIs" dxfId="1" priority="11" operator="notEqual">
      <formula>0</formula>
    </cfRule>
  </conditionalFormatting>
  <conditionalFormatting sqref="W35:AB36">
    <cfRule type="dataBar" priority="9">
      <dataBar>
        <cfvo type="num" val="0"/>
        <cfvo type="num" val="100%"/>
        <color rgb="FFCCCCFF"/>
      </dataBar>
      <extLst>
        <ext xmlns:x14="http://schemas.microsoft.com/office/spreadsheetml/2009/9/main" uri="{B025F937-C7B1-47D3-B67F-A62EFF666E3E}">
          <x14:id>{F3D99891-1766-424F-B959-F3DDD4258A83}</x14:id>
        </ext>
      </extLst>
    </cfRule>
  </conditionalFormatting>
  <conditionalFormatting sqref="O4:O31 O33:O40 O42:O48">
    <cfRule type="cellIs" dxfId="0" priority="8" operator="notEqual">
      <formula>0</formula>
    </cfRule>
  </conditionalFormatting>
  <conditionalFormatting sqref="R4:W31">
    <cfRule type="colorScale" priority="5">
      <colorScale>
        <cfvo type="formula" val="1"/>
        <cfvo type="formula" val="1.1"/>
        <cfvo type="formula" val="1.25"/>
        <color rgb="FF00B050"/>
        <color rgb="FFFFC000"/>
        <color rgb="FFFF0000"/>
      </colorScale>
    </cfRule>
    <cfRule type="colorScale" priority="6">
      <colorScale>
        <cfvo type="formula" val="0"/>
        <cfvo type="percent" val="1.5"/>
        <color rgb="FF92D050"/>
        <color rgb="FFFF0000"/>
      </colorScale>
    </cfRule>
  </conditionalFormatting>
  <conditionalFormatting sqref="Q4:Q31">
    <cfRule type="colorScale" priority="4">
      <colorScale>
        <cfvo type="min"/>
        <cfvo type="percentile" val="25"/>
        <cfvo type="max"/>
        <color rgb="FF00B050"/>
        <color rgb="FFFFEB84"/>
        <color rgb="FFFF0000"/>
      </colorScale>
    </cfRule>
    <cfRule type="colorScale" priority="3">
      <colorScale>
        <cfvo type="min"/>
        <cfvo type="max"/>
        <color rgb="FF00B050"/>
        <color rgb="FFFF0000"/>
      </colorScale>
    </cfRule>
    <cfRule type="colorScale" priority="2">
      <colorScale>
        <cfvo type="num" val="0"/>
        <cfvo type="num" val="500"/>
        <color rgb="FF92D050"/>
        <color rgb="FFFFEF9C"/>
      </colorScale>
    </cfRule>
    <cfRule type="colorScale" priority="1">
      <colorScale>
        <cfvo type="num" val="0"/>
        <cfvo type="num" val="40"/>
        <color rgb="FF00B050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7D454A-88D0-4B76-900F-EE979479C8C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R4:AC19</xm:sqref>
        </x14:conditionalFormatting>
        <x14:conditionalFormatting xmlns:xm="http://schemas.microsoft.com/office/excel/2006/main">
          <x14:cfRule type="dataBar" id="{F891B881-F350-40A5-BFF4-02177DA59DF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R20:AC21</xm:sqref>
        </x14:conditionalFormatting>
        <x14:conditionalFormatting xmlns:xm="http://schemas.microsoft.com/office/excel/2006/main">
          <x14:cfRule type="dataBar" id="{DA7C16E1-F8CE-42C6-955C-6072F39EE03A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R22:AC23</xm:sqref>
        </x14:conditionalFormatting>
        <x14:conditionalFormatting xmlns:xm="http://schemas.microsoft.com/office/excel/2006/main">
          <x14:cfRule type="dataBar" id="{E55ABE39-BB06-4999-900A-2901FDE40CAB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R24:AC25</xm:sqref>
        </x14:conditionalFormatting>
        <x14:conditionalFormatting xmlns:xm="http://schemas.microsoft.com/office/excel/2006/main">
          <x14:cfRule type="dataBar" id="{DC3BC9FD-A400-40CF-AB6A-C2D40F897EB7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R26:AC27</xm:sqref>
        </x14:conditionalFormatting>
        <x14:conditionalFormatting xmlns:xm="http://schemas.microsoft.com/office/excel/2006/main">
          <x14:cfRule type="dataBar" id="{B8483054-C3B2-4B96-A495-F4975D08322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R28:AC29</xm:sqref>
        </x14:conditionalFormatting>
        <x14:conditionalFormatting xmlns:xm="http://schemas.microsoft.com/office/excel/2006/main">
          <x14:cfRule type="dataBar" id="{83E2D91B-1154-460B-ABD4-2BF052828DA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R30:AC31</xm:sqref>
        </x14:conditionalFormatting>
        <x14:conditionalFormatting xmlns:xm="http://schemas.microsoft.com/office/excel/2006/main">
          <x14:cfRule type="dataBar" id="{F3D99891-1766-424F-B959-F3DDD4258A83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W35:AB36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"/>
  <dimension ref="A1:N100"/>
  <sheetViews>
    <sheetView tabSelected="1" zoomScale="80" zoomScaleNormal="80" workbookViewId="0">
      <selection activeCell="K19" sqref="K19"/>
    </sheetView>
  </sheetViews>
  <sheetFormatPr baseColWidth="10" defaultColWidth="11.42578125" defaultRowHeight="15" x14ac:dyDescent="0.25"/>
  <cols>
    <col min="1" max="1" width="25" style="5" customWidth="1"/>
    <col min="2" max="2" width="9.42578125" style="5" customWidth="1"/>
    <col min="3" max="3" width="22.5703125" style="5" customWidth="1"/>
    <col min="4" max="4" width="9.5703125" style="5" customWidth="1"/>
    <col min="5" max="5" width="18.5703125" style="5" customWidth="1"/>
    <col min="6" max="6" width="17.5703125" style="5" customWidth="1"/>
    <col min="7" max="7" width="24" style="5" customWidth="1"/>
    <col min="8" max="8" width="11.42578125" style="5"/>
    <col min="9" max="9" width="32.140625" style="5" customWidth="1"/>
    <col min="11" max="11" width="81.140625" customWidth="1"/>
    <col min="13" max="13" width="24.85546875" customWidth="1"/>
  </cols>
  <sheetData>
    <row r="1" spans="1:14" ht="21.75" thickBot="1" x14ac:dyDescent="0.4">
      <c r="A1" s="179" t="s">
        <v>122</v>
      </c>
      <c r="B1" s="180"/>
      <c r="C1" s="180"/>
      <c r="D1" s="180"/>
      <c r="E1" s="181"/>
      <c r="G1" s="182" t="s">
        <v>124</v>
      </c>
      <c r="H1" s="183"/>
      <c r="K1" s="190" t="s">
        <v>123</v>
      </c>
      <c r="L1" s="191"/>
      <c r="M1" s="191"/>
      <c r="N1" s="192"/>
    </row>
    <row r="2" spans="1:14" ht="19.5" thickBot="1" x14ac:dyDescent="0.3">
      <c r="A2" s="81" t="s">
        <v>1</v>
      </c>
      <c r="B2" s="39"/>
      <c r="C2" s="77" t="s">
        <v>16</v>
      </c>
      <c r="D2" s="39"/>
      <c r="E2" s="77" t="s">
        <v>38</v>
      </c>
      <c r="F2" s="9"/>
      <c r="G2" s="184"/>
      <c r="H2" s="185"/>
      <c r="K2" s="51" t="s">
        <v>116</v>
      </c>
      <c r="N2" s="46"/>
    </row>
    <row r="3" spans="1:14" ht="15.75" thickBot="1" x14ac:dyDescent="0.3">
      <c r="A3" s="80" t="s">
        <v>37</v>
      </c>
      <c r="B3" s="39"/>
      <c r="C3" s="12" t="s">
        <v>113</v>
      </c>
      <c r="D3" s="39"/>
      <c r="E3" s="91" t="s">
        <v>29</v>
      </c>
      <c r="F3" s="9"/>
      <c r="G3" s="186" t="s">
        <v>127</v>
      </c>
      <c r="H3" s="187"/>
      <c r="K3" s="14" t="s">
        <v>140</v>
      </c>
      <c r="N3" s="46"/>
    </row>
    <row r="4" spans="1:14" ht="15.75" thickBot="1" x14ac:dyDescent="0.3">
      <c r="A4" s="13" t="s">
        <v>126</v>
      </c>
      <c r="B4" s="39"/>
      <c r="C4" s="13" t="s">
        <v>14</v>
      </c>
      <c r="D4" s="39"/>
      <c r="E4" s="90" t="s">
        <v>31</v>
      </c>
      <c r="F4" s="9"/>
      <c r="G4" s="32" t="s">
        <v>84</v>
      </c>
      <c r="H4" s="33">
        <f>SUM(debut:fin!M9)</f>
        <v>0</v>
      </c>
      <c r="K4" s="47"/>
      <c r="N4" s="46"/>
    </row>
    <row r="5" spans="1:14" ht="14.45" customHeight="1" thickBot="1" x14ac:dyDescent="0.3">
      <c r="A5" s="82" t="s">
        <v>153</v>
      </c>
      <c r="B5" s="39"/>
      <c r="C5" s="13" t="s">
        <v>15</v>
      </c>
      <c r="D5" s="39"/>
      <c r="E5" s="90" t="s">
        <v>30</v>
      </c>
      <c r="G5" s="24" t="s">
        <v>85</v>
      </c>
      <c r="H5" s="25">
        <f>SUM(debut:fin!M10)</f>
        <v>0</v>
      </c>
      <c r="K5" s="15" t="s">
        <v>117</v>
      </c>
      <c r="N5" s="46"/>
    </row>
    <row r="6" spans="1:14" ht="15.95" customHeight="1" x14ac:dyDescent="0.25">
      <c r="A6" s="10"/>
      <c r="B6" s="39"/>
      <c r="C6" s="13" t="s">
        <v>131</v>
      </c>
      <c r="D6" s="39"/>
      <c r="E6" s="90" t="s">
        <v>32</v>
      </c>
      <c r="G6" s="32" t="s">
        <v>86</v>
      </c>
      <c r="H6" s="33">
        <f>SUM(debut:fin!M11)</f>
        <v>0</v>
      </c>
      <c r="K6" s="18" t="s">
        <v>119</v>
      </c>
      <c r="N6" s="46"/>
    </row>
    <row r="7" spans="1:14" ht="15.75" thickBot="1" x14ac:dyDescent="0.3">
      <c r="A7" s="10"/>
      <c r="B7" s="39"/>
      <c r="C7" s="13" t="s">
        <v>12</v>
      </c>
      <c r="D7" s="39"/>
      <c r="E7" s="90" t="s">
        <v>39</v>
      </c>
      <c r="G7" s="24" t="s">
        <v>87</v>
      </c>
      <c r="H7" s="25">
        <f>SUM(debut:fin!M12)</f>
        <v>0</v>
      </c>
      <c r="K7" s="19" t="s">
        <v>120</v>
      </c>
      <c r="N7" s="46"/>
    </row>
    <row r="8" spans="1:14" x14ac:dyDescent="0.25">
      <c r="A8" s="10"/>
      <c r="B8" s="39"/>
      <c r="C8" s="13" t="s">
        <v>145</v>
      </c>
      <c r="D8" s="39"/>
      <c r="E8" s="90" t="s">
        <v>40</v>
      </c>
      <c r="G8" s="32" t="s">
        <v>88</v>
      </c>
      <c r="H8" s="33">
        <f>SUM(debut:fin!M13)</f>
        <v>0</v>
      </c>
      <c r="K8" s="18" t="s">
        <v>118</v>
      </c>
      <c r="N8" s="46"/>
    </row>
    <row r="9" spans="1:14" ht="15.75" thickBot="1" x14ac:dyDescent="0.3">
      <c r="A9" s="10"/>
      <c r="B9" s="39"/>
      <c r="C9" s="13" t="s">
        <v>146</v>
      </c>
      <c r="D9" s="39"/>
      <c r="E9" s="90" t="s">
        <v>41</v>
      </c>
      <c r="G9" s="24" t="s">
        <v>89</v>
      </c>
      <c r="H9" s="25">
        <f>SUM(debut:fin!M14)</f>
        <v>0</v>
      </c>
      <c r="K9" s="20" t="s">
        <v>120</v>
      </c>
      <c r="N9" s="46"/>
    </row>
    <row r="10" spans="1:14" x14ac:dyDescent="0.25">
      <c r="A10" s="10"/>
      <c r="B10" s="39"/>
      <c r="C10" s="13"/>
      <c r="D10" s="39"/>
      <c r="E10" s="90" t="s">
        <v>42</v>
      </c>
      <c r="G10" s="32" t="s">
        <v>90</v>
      </c>
      <c r="H10" s="33">
        <f>SUM(debut:fin!M15)</f>
        <v>0</v>
      </c>
      <c r="K10" s="47"/>
      <c r="N10" s="46"/>
    </row>
    <row r="11" spans="1:14" ht="15.75" thickBot="1" x14ac:dyDescent="0.3">
      <c r="A11" s="10"/>
      <c r="B11" s="39"/>
      <c r="C11" s="78"/>
      <c r="D11" s="39"/>
      <c r="E11" s="90" t="s">
        <v>43</v>
      </c>
      <c r="F11" s="9"/>
      <c r="G11" s="24" t="s">
        <v>91</v>
      </c>
      <c r="H11" s="25">
        <f>SUM(debut:fin!M16)</f>
        <v>0</v>
      </c>
      <c r="K11" s="47"/>
      <c r="N11" s="46"/>
    </row>
    <row r="12" spans="1:14" x14ac:dyDescent="0.25">
      <c r="A12" s="10"/>
      <c r="B12" s="39"/>
      <c r="C12" s="78"/>
      <c r="D12" s="39"/>
      <c r="E12" s="90" t="s">
        <v>44</v>
      </c>
      <c r="F12" s="9"/>
      <c r="G12" s="32" t="s">
        <v>92</v>
      </c>
      <c r="H12" s="33">
        <f>SUM(debut:fin!M17)</f>
        <v>0</v>
      </c>
      <c r="K12" s="47"/>
      <c r="N12" s="46"/>
    </row>
    <row r="13" spans="1:14" ht="15.75" thickBot="1" x14ac:dyDescent="0.3">
      <c r="A13" s="11"/>
      <c r="B13" s="39"/>
      <c r="C13" s="79"/>
      <c r="D13" s="39"/>
      <c r="E13" s="90" t="s">
        <v>33</v>
      </c>
      <c r="F13" s="9"/>
      <c r="G13" s="24" t="s">
        <v>93</v>
      </c>
      <c r="H13" s="25">
        <f>SUM(debut:fin!M18)</f>
        <v>0</v>
      </c>
      <c r="K13" s="47"/>
      <c r="N13" s="46"/>
    </row>
    <row r="14" spans="1:14" x14ac:dyDescent="0.25">
      <c r="A14" s="40"/>
      <c r="B14" s="39"/>
      <c r="D14" s="39"/>
      <c r="E14" s="90" t="s">
        <v>35</v>
      </c>
      <c r="G14" s="32" t="s">
        <v>94</v>
      </c>
      <c r="H14" s="33">
        <f>SUM(debut:fin!M19)</f>
        <v>0</v>
      </c>
      <c r="K14" s="47"/>
      <c r="N14" s="46"/>
    </row>
    <row r="15" spans="1:14" ht="15.75" thickBot="1" x14ac:dyDescent="0.3">
      <c r="A15" s="40"/>
      <c r="B15" s="39"/>
      <c r="D15" s="39"/>
      <c r="E15" s="90" t="s">
        <v>36</v>
      </c>
      <c r="G15" s="24" t="s">
        <v>95</v>
      </c>
      <c r="H15" s="25">
        <f>SUM(debut:fin!M20)</f>
        <v>0</v>
      </c>
      <c r="K15" s="47"/>
      <c r="N15" s="46"/>
    </row>
    <row r="16" spans="1:14" x14ac:dyDescent="0.25">
      <c r="A16" s="38"/>
      <c r="B16" s="39"/>
      <c r="D16" s="39"/>
      <c r="E16" s="90" t="s">
        <v>34</v>
      </c>
      <c r="G16" s="32" t="s">
        <v>96</v>
      </c>
      <c r="H16" s="33">
        <f>SUM(debut:fin!M21)</f>
        <v>0</v>
      </c>
      <c r="K16" s="47"/>
      <c r="N16" s="46"/>
    </row>
    <row r="17" spans="1:14" ht="15.75" thickBot="1" x14ac:dyDescent="0.3">
      <c r="A17" s="36"/>
      <c r="E17" s="107" t="s">
        <v>126</v>
      </c>
      <c r="G17" s="24" t="s">
        <v>98</v>
      </c>
      <c r="H17" s="25">
        <f>SUM(debut:fin!M22)</f>
        <v>0</v>
      </c>
      <c r="K17" s="47"/>
      <c r="N17" s="46"/>
    </row>
    <row r="18" spans="1:14" ht="15.75" thickBot="1" x14ac:dyDescent="0.3">
      <c r="A18" s="36"/>
      <c r="E18" s="108"/>
      <c r="G18" s="32" t="s">
        <v>99</v>
      </c>
      <c r="H18" s="33">
        <f>SUM(debut:fin!M23)</f>
        <v>0</v>
      </c>
      <c r="K18" s="47"/>
      <c r="N18" s="46"/>
    </row>
    <row r="19" spans="1:14" ht="19.5" thickBot="1" x14ac:dyDescent="0.3">
      <c r="A19" s="15" t="s">
        <v>114</v>
      </c>
      <c r="B19" s="7"/>
      <c r="C19" s="85" t="s">
        <v>3</v>
      </c>
      <c r="D19" s="7"/>
      <c r="E19" s="10"/>
      <c r="G19" s="24" t="s">
        <v>97</v>
      </c>
      <c r="H19" s="25">
        <f>SUM(debut:fin!M24)</f>
        <v>0</v>
      </c>
      <c r="K19" s="47"/>
      <c r="N19" s="46"/>
    </row>
    <row r="20" spans="1:14" x14ac:dyDescent="0.25">
      <c r="A20" s="10" t="s">
        <v>115</v>
      </c>
      <c r="B20" s="7"/>
      <c r="C20" s="84" t="s">
        <v>128</v>
      </c>
      <c r="D20" s="7"/>
      <c r="E20" s="80"/>
      <c r="G20" s="32" t="s">
        <v>100</v>
      </c>
      <c r="H20" s="33">
        <f>SUM(debut:fin!M25)</f>
        <v>0</v>
      </c>
      <c r="K20" s="47"/>
      <c r="N20" s="46"/>
    </row>
    <row r="21" spans="1:14" ht="15.75" thickBot="1" x14ac:dyDescent="0.3">
      <c r="A21" s="13" t="s">
        <v>143</v>
      </c>
      <c r="B21" s="7"/>
      <c r="C21" s="82" t="s">
        <v>129</v>
      </c>
      <c r="D21" s="7"/>
      <c r="E21" s="13"/>
      <c r="G21" s="24" t="s">
        <v>101</v>
      </c>
      <c r="H21" s="25">
        <f>SUM(debut:fin!M26)</f>
        <v>0</v>
      </c>
      <c r="K21" s="47"/>
      <c r="N21" s="46"/>
    </row>
    <row r="22" spans="1:14" x14ac:dyDescent="0.25">
      <c r="A22" s="13" t="s">
        <v>133</v>
      </c>
      <c r="B22" s="7"/>
      <c r="C22" s="82"/>
      <c r="D22" s="7"/>
      <c r="E22" s="13"/>
      <c r="G22" s="34" t="s">
        <v>102</v>
      </c>
      <c r="H22" s="33">
        <f>SUM(debut:fin!M27)</f>
        <v>0</v>
      </c>
      <c r="K22" s="47"/>
      <c r="N22" s="46"/>
    </row>
    <row r="23" spans="1:14" ht="15.75" thickBot="1" x14ac:dyDescent="0.3">
      <c r="A23" s="13" t="s">
        <v>134</v>
      </c>
      <c r="B23" s="7"/>
      <c r="C23" s="82"/>
      <c r="E23" s="13"/>
      <c r="G23" s="30" t="s">
        <v>103</v>
      </c>
      <c r="H23" s="25">
        <f>SUM(debut:fin!M28)</f>
        <v>0</v>
      </c>
      <c r="K23" s="47"/>
      <c r="N23" s="46"/>
    </row>
    <row r="24" spans="1:14" x14ac:dyDescent="0.25">
      <c r="A24" s="13" t="s">
        <v>135</v>
      </c>
      <c r="B24" s="7"/>
      <c r="C24" s="82"/>
      <c r="E24" s="13"/>
      <c r="F24" s="9"/>
      <c r="G24" s="32" t="s">
        <v>104</v>
      </c>
      <c r="H24" s="33">
        <f>SUM(debut:fin!M29)</f>
        <v>0</v>
      </c>
      <c r="K24" s="47"/>
      <c r="N24" s="46"/>
    </row>
    <row r="25" spans="1:14" ht="15.75" thickBot="1" x14ac:dyDescent="0.3">
      <c r="A25" s="13" t="s">
        <v>136</v>
      </c>
      <c r="B25" s="7"/>
      <c r="C25" s="82"/>
      <c r="E25" s="13"/>
      <c r="G25" s="24" t="s">
        <v>105</v>
      </c>
      <c r="H25" s="25">
        <f>SUM(debut:fin!M30)</f>
        <v>0</v>
      </c>
      <c r="K25" s="47"/>
      <c r="N25" s="46"/>
    </row>
    <row r="26" spans="1:14" x14ac:dyDescent="0.25">
      <c r="A26" s="13" t="s">
        <v>137</v>
      </c>
      <c r="B26" s="7"/>
      <c r="C26" s="82"/>
      <c r="E26" s="13"/>
      <c r="G26" s="32" t="s">
        <v>106</v>
      </c>
      <c r="H26" s="33">
        <f>SUM(debut:fin!M31)</f>
        <v>0</v>
      </c>
      <c r="K26" s="47"/>
      <c r="N26" s="46"/>
    </row>
    <row r="27" spans="1:14" ht="15.75" thickBot="1" x14ac:dyDescent="0.3">
      <c r="A27" s="13" t="s">
        <v>144</v>
      </c>
      <c r="B27" s="7"/>
      <c r="C27" s="82"/>
      <c r="E27" s="13"/>
      <c r="G27" s="24" t="s">
        <v>107</v>
      </c>
      <c r="H27" s="25">
        <f>SUM(debut:fin!M32)</f>
        <v>0</v>
      </c>
      <c r="K27" s="47"/>
      <c r="N27" s="46"/>
    </row>
    <row r="28" spans="1:14" x14ac:dyDescent="0.25">
      <c r="A28" s="13" t="s">
        <v>138</v>
      </c>
      <c r="B28" s="7"/>
      <c r="C28" s="82"/>
      <c r="E28" s="13"/>
      <c r="G28" s="32" t="s">
        <v>108</v>
      </c>
      <c r="H28" s="33">
        <f>SUM(debut:fin!M33)</f>
        <v>0</v>
      </c>
      <c r="K28" s="47"/>
      <c r="N28" s="46"/>
    </row>
    <row r="29" spans="1:14" ht="15.75" thickBot="1" x14ac:dyDescent="0.3">
      <c r="A29" s="13" t="s">
        <v>139</v>
      </c>
      <c r="C29" s="82"/>
      <c r="E29" s="13"/>
      <c r="G29" s="24" t="s">
        <v>109</v>
      </c>
      <c r="H29" s="25">
        <f>SUM(debut:fin!M34)</f>
        <v>0</v>
      </c>
      <c r="K29" s="47"/>
      <c r="N29" s="46"/>
    </row>
    <row r="30" spans="1:14" x14ac:dyDescent="0.25">
      <c r="A30" s="13" t="s">
        <v>140</v>
      </c>
      <c r="C30" s="82"/>
      <c r="E30" s="13"/>
      <c r="G30" s="34" t="s">
        <v>110</v>
      </c>
      <c r="H30" s="33">
        <f>SUM(debut:fin!M35)</f>
        <v>0</v>
      </c>
      <c r="K30" s="47"/>
      <c r="N30" s="46"/>
    </row>
    <row r="31" spans="1:14" ht="15.75" thickBot="1" x14ac:dyDescent="0.3">
      <c r="A31" s="13" t="s">
        <v>141</v>
      </c>
      <c r="C31" s="82"/>
      <c r="E31" s="13"/>
      <c r="G31" s="24" t="s">
        <v>111</v>
      </c>
      <c r="H31" s="25">
        <f>SUM(debut:fin!M36)</f>
        <v>0</v>
      </c>
      <c r="K31" s="47"/>
      <c r="N31" s="46"/>
    </row>
    <row r="32" spans="1:14" ht="15.75" thickBot="1" x14ac:dyDescent="0.3">
      <c r="A32" s="13" t="s">
        <v>142</v>
      </c>
      <c r="C32" s="82"/>
      <c r="E32" s="13"/>
      <c r="G32" s="188"/>
      <c r="H32" s="189"/>
      <c r="K32" s="47"/>
      <c r="N32" s="46"/>
    </row>
    <row r="33" spans="1:14" ht="15.75" thickBot="1" x14ac:dyDescent="0.3">
      <c r="A33" s="13" t="s">
        <v>156</v>
      </c>
      <c r="C33" s="83"/>
      <c r="E33" s="14"/>
      <c r="G33" s="186" t="s">
        <v>130</v>
      </c>
      <c r="H33" s="187"/>
      <c r="K33" s="47"/>
      <c r="N33" s="46"/>
    </row>
    <row r="34" spans="1:14" x14ac:dyDescent="0.25">
      <c r="A34" s="13"/>
      <c r="E34" s="37"/>
      <c r="G34" s="32" t="s">
        <v>113</v>
      </c>
      <c r="H34" s="33">
        <f>SUM(debut:fin!M40)</f>
        <v>0</v>
      </c>
      <c r="K34" s="47"/>
      <c r="N34" s="46"/>
    </row>
    <row r="35" spans="1:14" x14ac:dyDescent="0.25">
      <c r="A35" s="13"/>
      <c r="E35" s="37"/>
      <c r="F35" s="8"/>
      <c r="G35" s="21" t="s">
        <v>14</v>
      </c>
      <c r="H35" s="23">
        <f>SUM(debut:fin!M41)</f>
        <v>0</v>
      </c>
      <c r="K35" s="47"/>
      <c r="N35" s="46"/>
    </row>
    <row r="36" spans="1:14" ht="15.75" thickBot="1" x14ac:dyDescent="0.3">
      <c r="A36" s="13"/>
      <c r="E36" s="41"/>
      <c r="F36" s="6"/>
      <c r="G36" s="21" t="s">
        <v>15</v>
      </c>
      <c r="H36" s="23">
        <f>SUM(debut:fin!M42)</f>
        <v>0</v>
      </c>
      <c r="K36" s="48"/>
      <c r="L36" s="49"/>
      <c r="M36" s="49"/>
      <c r="N36" s="50"/>
    </row>
    <row r="37" spans="1:14" x14ac:dyDescent="0.25">
      <c r="A37" s="13"/>
      <c r="E37" s="42"/>
      <c r="F37" s="7"/>
      <c r="G37" s="86" t="s">
        <v>4</v>
      </c>
      <c r="H37" s="23">
        <f>SUM(debut:fin!M43)</f>
        <v>0</v>
      </c>
    </row>
    <row r="38" spans="1:14" x14ac:dyDescent="0.25">
      <c r="A38" s="13"/>
      <c r="E38" s="42"/>
      <c r="F38" s="7"/>
      <c r="G38" s="86" t="s">
        <v>12</v>
      </c>
      <c r="H38" s="23">
        <f>SUM(debut:fin!M44)</f>
        <v>0</v>
      </c>
      <c r="I38"/>
    </row>
    <row r="39" spans="1:14" x14ac:dyDescent="0.25">
      <c r="A39" s="13"/>
      <c r="E39" s="42"/>
      <c r="F39" s="7"/>
      <c r="G39" s="86" t="s">
        <v>145</v>
      </c>
      <c r="H39" s="23">
        <f>SUM(debut:fin!M45)</f>
        <v>0</v>
      </c>
      <c r="I39"/>
    </row>
    <row r="40" spans="1:14" ht="15.75" thickBot="1" x14ac:dyDescent="0.3">
      <c r="A40" s="13"/>
      <c r="E40" s="42"/>
      <c r="F40" s="7"/>
      <c r="G40" s="87" t="s">
        <v>146</v>
      </c>
      <c r="H40" s="25">
        <f>SUM(debut:fin!M46)</f>
        <v>0</v>
      </c>
      <c r="I40"/>
    </row>
    <row r="41" spans="1:14" ht="15.75" thickBot="1" x14ac:dyDescent="0.3">
      <c r="A41" s="13"/>
      <c r="E41" s="42"/>
      <c r="F41" s="7"/>
      <c r="G41" s="188"/>
      <c r="H41" s="189"/>
      <c r="I41"/>
    </row>
    <row r="42" spans="1:14" ht="15.75" thickBot="1" x14ac:dyDescent="0.3">
      <c r="A42" s="13"/>
      <c r="E42" s="42"/>
      <c r="F42" s="7"/>
      <c r="G42" s="186" t="s">
        <v>132</v>
      </c>
      <c r="H42" s="187"/>
      <c r="I42"/>
    </row>
    <row r="43" spans="1:14" x14ac:dyDescent="0.25">
      <c r="A43" s="13"/>
      <c r="E43" s="42"/>
      <c r="F43" s="7"/>
      <c r="G43" s="32" t="s">
        <v>113</v>
      </c>
      <c r="H43" s="33">
        <f>SUM(debut:fin!M50)</f>
        <v>0</v>
      </c>
      <c r="I43"/>
    </row>
    <row r="44" spans="1:14" x14ac:dyDescent="0.25">
      <c r="A44" s="13"/>
      <c r="E44" s="42"/>
      <c r="F44" s="7"/>
      <c r="G44" s="21" t="s">
        <v>14</v>
      </c>
      <c r="H44" s="23">
        <f>SUM(debut:fin!M51)</f>
        <v>0</v>
      </c>
      <c r="I44"/>
    </row>
    <row r="45" spans="1:14" x14ac:dyDescent="0.25">
      <c r="A45" s="13"/>
      <c r="E45" s="42"/>
      <c r="F45" s="7"/>
      <c r="G45" s="21" t="s">
        <v>15</v>
      </c>
      <c r="H45" s="23">
        <f>SUM(debut:fin!M52)</f>
        <v>0</v>
      </c>
      <c r="I45"/>
    </row>
    <row r="46" spans="1:14" x14ac:dyDescent="0.25">
      <c r="A46" s="13"/>
      <c r="E46" s="42"/>
      <c r="F46" s="7"/>
      <c r="G46" s="86" t="s">
        <v>4</v>
      </c>
      <c r="H46" s="23">
        <f>SUM(debut:fin!M53)</f>
        <v>0</v>
      </c>
      <c r="I46"/>
    </row>
    <row r="47" spans="1:14" x14ac:dyDescent="0.25">
      <c r="A47" s="13"/>
      <c r="E47" s="42"/>
      <c r="F47" s="7"/>
      <c r="G47" s="86" t="s">
        <v>12</v>
      </c>
      <c r="H47" s="23">
        <f>SUM(debut:fin!M54)</f>
        <v>0</v>
      </c>
    </row>
    <row r="48" spans="1:14" x14ac:dyDescent="0.25">
      <c r="A48" s="13"/>
      <c r="E48" s="42"/>
      <c r="F48" s="7"/>
      <c r="G48" s="86" t="s">
        <v>145</v>
      </c>
      <c r="H48" s="23">
        <f>SUM(debut:fin!M55)</f>
        <v>0</v>
      </c>
    </row>
    <row r="49" spans="1:8" ht="15.75" thickBot="1" x14ac:dyDescent="0.3">
      <c r="A49" s="13"/>
      <c r="E49" s="42"/>
      <c r="F49" s="7"/>
      <c r="G49" s="87" t="s">
        <v>146</v>
      </c>
      <c r="H49" s="25">
        <f>SUM(debut:fin!M56)</f>
        <v>0</v>
      </c>
    </row>
    <row r="50" spans="1:8" x14ac:dyDescent="0.25">
      <c r="A50" s="16"/>
      <c r="E50" s="42"/>
      <c r="F50" s="7"/>
    </row>
    <row r="51" spans="1:8" x14ac:dyDescent="0.25">
      <c r="A51" s="16"/>
      <c r="E51" s="42"/>
      <c r="F51" s="7"/>
    </row>
    <row r="52" spans="1:8" x14ac:dyDescent="0.25">
      <c r="A52" s="16"/>
      <c r="E52" s="42"/>
      <c r="F52" s="7"/>
    </row>
    <row r="53" spans="1:8" x14ac:dyDescent="0.25">
      <c r="A53" s="16"/>
      <c r="E53" s="42"/>
      <c r="F53" s="7"/>
    </row>
    <row r="54" spans="1:8" x14ac:dyDescent="0.25">
      <c r="A54" s="16"/>
      <c r="E54" s="42"/>
      <c r="F54" s="7"/>
    </row>
    <row r="55" spans="1:8" x14ac:dyDescent="0.25">
      <c r="A55" s="16"/>
      <c r="E55" s="42"/>
      <c r="F55" s="7"/>
    </row>
    <row r="56" spans="1:8" ht="15.75" thickBot="1" x14ac:dyDescent="0.3">
      <c r="A56" s="17"/>
      <c r="E56" s="42"/>
      <c r="F56" s="7"/>
    </row>
    <row r="57" spans="1:8" ht="15.75" thickBot="1" x14ac:dyDescent="0.3">
      <c r="A57" s="43"/>
      <c r="B57" s="44"/>
      <c r="C57" s="44"/>
      <c r="D57" s="44"/>
      <c r="E57" s="45"/>
      <c r="F57" s="7"/>
    </row>
    <row r="58" spans="1:8" x14ac:dyDescent="0.25">
      <c r="E58" s="7"/>
      <c r="F58" s="7"/>
    </row>
    <row r="59" spans="1:8" x14ac:dyDescent="0.25">
      <c r="E59" s="7"/>
      <c r="F59" s="7"/>
    </row>
    <row r="60" spans="1:8" x14ac:dyDescent="0.25">
      <c r="C60" s="7"/>
      <c r="E60" s="7"/>
      <c r="F60" s="7"/>
    </row>
    <row r="61" spans="1:8" x14ac:dyDescent="0.25">
      <c r="C61" s="7"/>
      <c r="E61" s="7"/>
      <c r="F61" s="7"/>
    </row>
    <row r="62" spans="1:8" x14ac:dyDescent="0.25">
      <c r="C62" s="7"/>
      <c r="E62" s="7"/>
      <c r="F62" s="7"/>
    </row>
    <row r="63" spans="1:8" x14ac:dyDescent="0.25">
      <c r="C63" s="7"/>
      <c r="E63" s="7"/>
      <c r="F63" s="7"/>
    </row>
    <row r="64" spans="1:8" x14ac:dyDescent="0.25">
      <c r="C64" s="7"/>
      <c r="E64" s="7"/>
      <c r="F64" s="7"/>
    </row>
    <row r="65" spans="3:6" x14ac:dyDescent="0.25">
      <c r="C65" s="7"/>
      <c r="E65" s="7"/>
      <c r="F65" s="7"/>
    </row>
    <row r="66" spans="3:6" x14ac:dyDescent="0.25">
      <c r="C66" s="7"/>
      <c r="E66" s="7"/>
      <c r="F66" s="7"/>
    </row>
    <row r="67" spans="3:6" x14ac:dyDescent="0.25">
      <c r="C67" s="7"/>
      <c r="E67" s="7"/>
      <c r="F67" s="7"/>
    </row>
    <row r="68" spans="3:6" x14ac:dyDescent="0.25">
      <c r="C68" s="7"/>
      <c r="E68" s="7"/>
      <c r="F68" s="7"/>
    </row>
    <row r="69" spans="3:6" x14ac:dyDescent="0.25">
      <c r="C69" s="7"/>
      <c r="E69" s="7"/>
      <c r="F69" s="7"/>
    </row>
    <row r="70" spans="3:6" x14ac:dyDescent="0.25">
      <c r="C70" s="7"/>
      <c r="E70" s="7"/>
      <c r="F70" s="7"/>
    </row>
    <row r="71" spans="3:6" x14ac:dyDescent="0.25">
      <c r="C71" s="7"/>
      <c r="E71" s="7"/>
      <c r="F71" s="7"/>
    </row>
    <row r="72" spans="3:6" x14ac:dyDescent="0.25">
      <c r="C72" s="7"/>
      <c r="E72" s="7"/>
      <c r="F72" s="7"/>
    </row>
    <row r="73" spans="3:6" x14ac:dyDescent="0.25">
      <c r="C73" s="7"/>
      <c r="E73" s="7"/>
      <c r="F73" s="7"/>
    </row>
    <row r="74" spans="3:6" x14ac:dyDescent="0.25">
      <c r="C74" s="7"/>
      <c r="E74" s="7"/>
      <c r="F74" s="7"/>
    </row>
    <row r="75" spans="3:6" x14ac:dyDescent="0.25">
      <c r="C75" s="7"/>
      <c r="E75" s="7"/>
      <c r="F75" s="7"/>
    </row>
    <row r="76" spans="3:6" x14ac:dyDescent="0.25">
      <c r="C76" s="7"/>
      <c r="E76" s="7"/>
      <c r="F76" s="7"/>
    </row>
    <row r="77" spans="3:6" x14ac:dyDescent="0.25">
      <c r="C77" s="7"/>
    </row>
    <row r="78" spans="3:6" ht="15" customHeight="1" x14ac:dyDescent="0.25"/>
    <row r="86" ht="15" customHeight="1" x14ac:dyDescent="0.25"/>
    <row r="100" ht="15" customHeight="1" x14ac:dyDescent="0.25"/>
  </sheetData>
  <mergeCells count="8">
    <mergeCell ref="A1:E1"/>
    <mergeCell ref="G1:H2"/>
    <mergeCell ref="G42:H42"/>
    <mergeCell ref="G41:H41"/>
    <mergeCell ref="K1:N1"/>
    <mergeCell ref="G3:H3"/>
    <mergeCell ref="G32:H32"/>
    <mergeCell ref="G33:H33"/>
  </mergeCells>
  <dataValidations count="1">
    <dataValidation type="list" allowBlank="1" showInputMessage="1" showErrorMessage="1" sqref="K3" xr:uid="{454FE454-8483-4088-80F6-4882E2B723F9}">
      <formula1>$A$21:$A$56</formula1>
    </dataValidation>
  </dataValidations>
  <hyperlinks>
    <hyperlink ref="K7" r:id="rId1" xr:uid="{CC7D8C61-A6FE-457E-8624-DBD966350044}"/>
    <hyperlink ref="K9" r:id="rId2" xr:uid="{D465A8A9-CF81-4DB2-81FD-724AF981C1E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mofifiernomfeuilles">
                <anchor moveWithCells="1" sizeWithCells="1">
                  <from>
                    <xdr:col>11</xdr:col>
                    <xdr:colOff>447675</xdr:colOff>
                    <xdr:row>1</xdr:row>
                    <xdr:rowOff>28575</xdr:rowOff>
                  </from>
                  <to>
                    <xdr:col>13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7" name="Button 6">
              <controlPr defaultSize="0" print="0" autoFill="0" autoPict="0" macro="[0]!CopiFile">
                <anchor moveWithCells="1" sizeWithCells="1">
                  <from>
                    <xdr:col>11</xdr:col>
                    <xdr:colOff>447675</xdr:colOff>
                    <xdr:row>5</xdr:row>
                    <xdr:rowOff>38100</xdr:rowOff>
                  </from>
                  <to>
                    <xdr:col>13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8" name="Button 11">
              <controlPr defaultSize="0" print="0" autoFill="0" autoPict="0" macro="[0]!deProtegerTout">
                <anchor moveWithCells="1" sizeWithCells="1">
                  <from>
                    <xdr:col>11</xdr:col>
                    <xdr:colOff>447675</xdr:colOff>
                    <xdr:row>10</xdr:row>
                    <xdr:rowOff>66675</xdr:rowOff>
                  </from>
                  <to>
                    <xdr:col>12</xdr:col>
                    <xdr:colOff>1714500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9" name="Button 12">
              <controlPr defaultSize="0" print="0" autoFill="0" autoPict="0" macro="[0]!protegerTout">
                <anchor moveWithCells="1" sizeWithCells="1">
                  <from>
                    <xdr:col>11</xdr:col>
                    <xdr:colOff>419100</xdr:colOff>
                    <xdr:row>15</xdr:row>
                    <xdr:rowOff>66675</xdr:rowOff>
                  </from>
                  <to>
                    <xdr:col>12</xdr:col>
                    <xdr:colOff>1714500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5" x14ac:dyDescent="0.25"/>
  <sheetData>
    <row r="6" spans="2:2" x14ac:dyDescent="0.25">
      <c r="B6" t="s">
        <v>135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topLeftCell="A4"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18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5"/>
      <c r="M47" s="196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sheetProtection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3B7F5-247D-4C88-8D90-D834E35AF196}">
          <x14:formula1>
            <xm:f>SOURCE!$A$3:$A$13</xm:f>
          </x14:formula1>
          <xm:sqref>A11:A33</xm:sqref>
        </x14:dataValidation>
        <x14:dataValidation type="list" allowBlank="1" showInputMessage="1" showErrorMessage="1" xr:uid="{BE35DC83-FF79-494F-93BA-D06B22D886AC}">
          <x14:formula1>
            <xm:f>SOURCE!$E$3:$E$18</xm:f>
          </x14:formula1>
          <xm:sqref>C11:C33</xm:sqref>
        </x14:dataValidation>
        <x14:dataValidation type="list" allowBlank="1" showInputMessage="1" showErrorMessage="1" xr:uid="{25F94891-DE4A-4356-AFAD-9EF82390DAE4}">
          <x14:formula1>
            <xm:f>SOURCE!$C$3:$C$13</xm:f>
          </x14:formula1>
          <xm:sqref>B11:B33</xm:sqref>
        </x14:dataValidation>
        <x14:dataValidation type="list" allowBlank="1" showInputMessage="1" showErrorMessage="1" xr:uid="{111ADB3A-81CD-41EE-802A-EBD1EABA8384}">
          <x14:formula1>
            <xm:f>SOURCE!$C$20:$C$21</xm:f>
          </x14:formula1>
          <xm:sqref>D11:D33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topLeftCell="A15" zoomScaleNormal="100"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17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CF094A-3EFB-4E83-BAB7-0A43812A67F4}">
          <x14:formula1>
            <xm:f>SOURCE!$E$3:$E$18</xm:f>
          </x14:formula1>
          <xm:sqref>C11:C33</xm:sqref>
        </x14:dataValidation>
        <x14:dataValidation type="list" allowBlank="1" showInputMessage="1" showErrorMessage="1" xr:uid="{5CD0FBA5-A6E7-44F0-9433-7815F3205A48}">
          <x14:formula1>
            <xm:f>SOURCE!$C$20:$C$21</xm:f>
          </x14:formula1>
          <xm:sqref>D11:D33</xm:sqref>
        </x14:dataValidation>
        <x14:dataValidation type="list" allowBlank="1" showInputMessage="1" showErrorMessage="1" xr:uid="{80AFEF72-748E-4B3A-AC6A-B2205768F584}">
          <x14:formula1>
            <xm:f>SOURCE!$C$3:$C$13</xm:f>
          </x14:formula1>
          <xm:sqref>B11:B33</xm:sqref>
        </x14:dataValidation>
        <x14:dataValidation type="list" allowBlank="1" showInputMessage="1" showErrorMessage="1" xr:uid="{99C0F207-50E2-4213-9B03-7CC7B54DF58B}">
          <x14:formula1>
            <xm:f>SOURCE!$A$3:$A$13</xm:f>
          </x14:formula1>
          <xm:sqref>A11:A33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19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E0C048-4670-4837-8E21-B68D81C95CE9}">
          <x14:formula1>
            <xm:f>SOURCE!$E$3:$E$18</xm:f>
          </x14:formula1>
          <xm:sqref>C11:C33</xm:sqref>
        </x14:dataValidation>
        <x14:dataValidation type="list" allowBlank="1" showInputMessage="1" showErrorMessage="1" xr:uid="{0FC3FE98-22D2-4C81-8CBE-DF911B7A8CC0}">
          <x14:formula1>
            <xm:f>SOURCE!$C$20:$C$21</xm:f>
          </x14:formula1>
          <xm:sqref>D11:D33</xm:sqref>
        </x14:dataValidation>
        <x14:dataValidation type="list" allowBlank="1" showInputMessage="1" showErrorMessage="1" xr:uid="{1693B8B7-2C1D-4DA3-9A5D-0B0874F399F3}">
          <x14:formula1>
            <xm:f>SOURCE!$C$3:$C$13</xm:f>
          </x14:formula1>
          <xm:sqref>B11:B33</xm:sqref>
        </x14:dataValidation>
        <x14:dataValidation type="list" allowBlank="1" showInputMessage="1" showErrorMessage="1" xr:uid="{74023723-1E42-4B35-93A8-6A2C4C9CF8CD}">
          <x14:formula1>
            <xm:f>SOURCE!$A$3:$A$13</xm:f>
          </x14:formula1>
          <xm:sqref>A11:A33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20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88" t="s">
        <v>113</v>
      </c>
      <c r="M40" s="89">
        <f>SUMIFS($J$11:$J$33,$A$11:$A$33,"=CMN",$B$11:$B$33,"=FORMATION")</f>
        <v>0</v>
      </c>
    </row>
    <row r="41" spans="1:13" x14ac:dyDescent="0.25">
      <c r="L41" s="26" t="s">
        <v>14</v>
      </c>
      <c r="M41" s="27">
        <f>SUMIFS($J$11:$J$33,$A$11:$A$33,"=CMN",$B$11:$B$33,"=GESTION PROJET")</f>
        <v>0</v>
      </c>
    </row>
    <row r="42" spans="1:13" x14ac:dyDescent="0.25">
      <c r="L42" s="26" t="s">
        <v>15</v>
      </c>
      <c r="M42" s="27">
        <f>SUMIFS($J$11:$J$33,$A$11:$A$33,"=CMN",$B$11:$B$33,"=REUNION")</f>
        <v>0</v>
      </c>
    </row>
    <row r="43" spans="1:13" x14ac:dyDescent="0.25">
      <c r="L43" s="26" t="s">
        <v>131</v>
      </c>
      <c r="M43" s="27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88" t="s">
        <v>113</v>
      </c>
      <c r="M50" s="89">
        <f>SUMIFS($J$11:$J$33,$A$11:$A$33,"=AUTRE",$B$11:$B$33,"=FORMATION")</f>
        <v>0</v>
      </c>
    </row>
    <row r="51" spans="12:13" x14ac:dyDescent="0.25">
      <c r="L51" s="26" t="s">
        <v>14</v>
      </c>
      <c r="M51" s="27">
        <f>SUMIFS($J$11:$J$33,$A$11:$A$33,"=AUTRE",$B$11:$B$33,"=GESTION PROJET")</f>
        <v>0</v>
      </c>
    </row>
    <row r="52" spans="12:13" x14ac:dyDescent="0.25">
      <c r="L52" s="26" t="s">
        <v>15</v>
      </c>
      <c r="M52" s="27">
        <f>SUMIFS($J$11:$J$33,$A$11:$A$33,"=AUTRE",$B$11:$B$33,"=REUNION")</f>
        <v>0</v>
      </c>
    </row>
    <row r="53" spans="12:13" x14ac:dyDescent="0.25">
      <c r="L53" s="26" t="s">
        <v>131</v>
      </c>
      <c r="M53" s="27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DD3849-049F-49CE-BCF1-EAB7E6BC35D8}">
          <x14:formula1>
            <xm:f>SOURCE!$E$3:$E$18</xm:f>
          </x14:formula1>
          <xm:sqref>C11:C33</xm:sqref>
        </x14:dataValidation>
        <x14:dataValidation type="list" allowBlank="1" showInputMessage="1" showErrorMessage="1" xr:uid="{368307C9-C40C-43DF-939E-06A981BE69AB}">
          <x14:formula1>
            <xm:f>SOURCE!$C$20:$C$21</xm:f>
          </x14:formula1>
          <xm:sqref>D11:D33</xm:sqref>
        </x14:dataValidation>
        <x14:dataValidation type="list" allowBlank="1" showInputMessage="1" showErrorMessage="1" xr:uid="{06C1244C-96B3-46D9-B534-DDCC5C653271}">
          <x14:formula1>
            <xm:f>SOURCE!$C$3:$C$13</xm:f>
          </x14:formula1>
          <xm:sqref>B11:B33</xm:sqref>
        </x14:dataValidation>
        <x14:dataValidation type="list" allowBlank="1" showInputMessage="1" showErrorMessage="1" xr:uid="{B25C178B-C52A-486A-9843-509BEFDED455}">
          <x14:formula1>
            <xm:f>SOURCE!$A$3:$A$13</xm:f>
          </x14:formula1>
          <xm:sqref>A11:A33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21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5E41DD-D35F-49DD-8DA6-5918B557663A}">
          <x14:formula1>
            <xm:f>SOURCE!$E$3:$E$18</xm:f>
          </x14:formula1>
          <xm:sqref>C11:C33</xm:sqref>
        </x14:dataValidation>
        <x14:dataValidation type="list" allowBlank="1" showInputMessage="1" showErrorMessage="1" xr:uid="{75637153-0895-4CDA-B7A8-9BAA17102EF8}">
          <x14:formula1>
            <xm:f>SOURCE!$C$20:$C$21</xm:f>
          </x14:formula1>
          <xm:sqref>D11:D33</xm:sqref>
        </x14:dataValidation>
        <x14:dataValidation type="list" allowBlank="1" showInputMessage="1" showErrorMessage="1" xr:uid="{5A86E9D9-37F9-4D1F-A36C-AC505D24F407}">
          <x14:formula1>
            <xm:f>SOURCE!$C$3:$C$13</xm:f>
          </x14:formula1>
          <xm:sqref>B11:B33</xm:sqref>
        </x14:dataValidation>
        <x14:dataValidation type="list" allowBlank="1" showInputMessage="1" showErrorMessage="1" xr:uid="{2667C05D-3921-4049-A4DD-631A318763C5}">
          <x14:formula1>
            <xm:f>SOURCE!$A$3:$A$13</xm:f>
          </x14:formula1>
          <xm:sqref>A11:A33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22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53EFD3-4473-43F8-9F94-71D8B9B2A999}">
          <x14:formula1>
            <xm:f>SOURCE!$E$3:$E$18</xm:f>
          </x14:formula1>
          <xm:sqref>C11:C33</xm:sqref>
        </x14:dataValidation>
        <x14:dataValidation type="list" allowBlank="1" showInputMessage="1" showErrorMessage="1" xr:uid="{607A7B33-0615-4744-B8F9-F2ED15E5AD6E}">
          <x14:formula1>
            <xm:f>SOURCE!$C$20:$C$21</xm:f>
          </x14:formula1>
          <xm:sqref>D11:D33</xm:sqref>
        </x14:dataValidation>
        <x14:dataValidation type="list" allowBlank="1" showInputMessage="1" showErrorMessage="1" xr:uid="{A73C85C6-A0F7-4C5D-8B78-B15D4360D4CE}">
          <x14:formula1>
            <xm:f>SOURCE!$C$3:$C$13</xm:f>
          </x14:formula1>
          <xm:sqref>B11:B33</xm:sqref>
        </x14:dataValidation>
        <x14:dataValidation type="list" allowBlank="1" showInputMessage="1" showErrorMessage="1" xr:uid="{1DB482B1-8470-4FE0-A397-EE2B753518E2}">
          <x14:formula1>
            <xm:f>SOURCE!$A$3:$A$13</xm:f>
          </x14:formula1>
          <xm:sqref>A11:A33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23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C4F0F4-DA9A-4E6D-9853-798D84446BC3}">
          <x14:formula1>
            <xm:f>SOURCE!$E$3:$E$18</xm:f>
          </x14:formula1>
          <xm:sqref>C11:C33</xm:sqref>
        </x14:dataValidation>
        <x14:dataValidation type="list" allowBlank="1" showInputMessage="1" showErrorMessage="1" xr:uid="{72645C7C-36C4-45BD-8717-9BDA9480B37D}">
          <x14:formula1>
            <xm:f>SOURCE!$C$20:$C$21</xm:f>
          </x14:formula1>
          <xm:sqref>D11:D33</xm:sqref>
        </x14:dataValidation>
        <x14:dataValidation type="list" allowBlank="1" showInputMessage="1" showErrorMessage="1" xr:uid="{CC1F7120-8DEA-41C4-AE71-4E6C34186008}">
          <x14:formula1>
            <xm:f>SOURCE!$C$3:$C$13</xm:f>
          </x14:formula1>
          <xm:sqref>B11:B33</xm:sqref>
        </x14:dataValidation>
        <x14:dataValidation type="list" allowBlank="1" showInputMessage="1" showErrorMessage="1" xr:uid="{6CB3B2E2-8ACB-4E7A-BC96-BE061EDAA94B}">
          <x14:formula1>
            <xm:f>SOURCE!$A$3:$A$13</xm:f>
          </x14:formula1>
          <xm:sqref>A11:A33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24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9EF9AA-12FB-4DBD-A986-E4E9D52C7DE9}">
          <x14:formula1>
            <xm:f>SOURCE!$E$3:$E$18</xm:f>
          </x14:formula1>
          <xm:sqref>C11:C33</xm:sqref>
        </x14:dataValidation>
        <x14:dataValidation type="list" allowBlank="1" showInputMessage="1" showErrorMessage="1" xr:uid="{2A8B1428-0CE1-4310-B165-0C71C4931EB8}">
          <x14:formula1>
            <xm:f>SOURCE!$C$20:$C$21</xm:f>
          </x14:formula1>
          <xm:sqref>D11:D33</xm:sqref>
        </x14:dataValidation>
        <x14:dataValidation type="list" allowBlank="1" showInputMessage="1" showErrorMessage="1" xr:uid="{CBD79BE7-7EC7-4E0C-9D54-926B17BEF449}">
          <x14:formula1>
            <xm:f>SOURCE!$C$3:$C$13</xm:f>
          </x14:formula1>
          <xm:sqref>B11:B33</xm:sqref>
        </x14:dataValidation>
        <x14:dataValidation type="list" allowBlank="1" showInputMessage="1" showErrorMessage="1" xr:uid="{54CB3249-500E-4145-B197-C9A1DE324CB1}">
          <x14:formula1>
            <xm:f>SOURCE!$A$3:$A$13</xm:f>
          </x14:formula1>
          <xm:sqref>A11:A33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25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8BE0E-4C4F-4B47-A916-595728EEF1FF}">
          <x14:formula1>
            <xm:f>SOURCE!$E$3:$E$18</xm:f>
          </x14:formula1>
          <xm:sqref>C11:C33</xm:sqref>
        </x14:dataValidation>
        <x14:dataValidation type="list" allowBlank="1" showInputMessage="1" showErrorMessage="1" xr:uid="{530959E2-7C72-4E51-A6DF-E24ED0A9E7DC}">
          <x14:formula1>
            <xm:f>SOURCE!$C$20:$C$21</xm:f>
          </x14:formula1>
          <xm:sqref>D11:D33</xm:sqref>
        </x14:dataValidation>
        <x14:dataValidation type="list" allowBlank="1" showInputMessage="1" showErrorMessage="1" xr:uid="{14384228-41FC-418A-877D-71240C4FFB34}">
          <x14:formula1>
            <xm:f>SOURCE!$C$3:$C$13</xm:f>
          </x14:formula1>
          <xm:sqref>B11:B33</xm:sqref>
        </x14:dataValidation>
        <x14:dataValidation type="list" allowBlank="1" showInputMessage="1" showErrorMessage="1" xr:uid="{D7E54945-3439-4516-B1AF-C98447CC4C10}">
          <x14:formula1>
            <xm:f>SOURCE!$A$3:$A$13</xm:f>
          </x14:formula1>
          <xm:sqref>A11:A33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26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C286D2-E30E-4161-8128-6AB19F0F2FFD}">
          <x14:formula1>
            <xm:f>SOURCE!$E$3:$E$18</xm:f>
          </x14:formula1>
          <xm:sqref>C11:C33</xm:sqref>
        </x14:dataValidation>
        <x14:dataValidation type="list" allowBlank="1" showInputMessage="1" showErrorMessage="1" xr:uid="{168D5D2D-8C9E-4C1A-960C-CFA8A583E2A1}">
          <x14:formula1>
            <xm:f>SOURCE!$C$20:$C$21</xm:f>
          </x14:formula1>
          <xm:sqref>D11:D33</xm:sqref>
        </x14:dataValidation>
        <x14:dataValidation type="list" allowBlank="1" showInputMessage="1" showErrorMessage="1" xr:uid="{57C9DF8C-3974-422F-80D7-A57E1610E419}">
          <x14:formula1>
            <xm:f>SOURCE!$C$3:$C$13</xm:f>
          </x14:formula1>
          <xm:sqref>B11:B33</xm:sqref>
        </x14:dataValidation>
        <x14:dataValidation type="list" allowBlank="1" showInputMessage="1" showErrorMessage="1" xr:uid="{9BF89F7B-2AC4-4099-83A2-331BEFAE2944}">
          <x14:formula1>
            <xm:f>SOURCE!$A$3:$A$13</xm:f>
          </x14:formula1>
          <xm:sqref>A11:A33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EC98F2-6B8A-4F64-8412-6F2C4708A438}">
          <x14:formula1>
            <xm:f>SOURCE!$E$3:$E$18</xm:f>
          </x14:formula1>
          <xm:sqref>C11:C33</xm:sqref>
        </x14:dataValidation>
        <x14:dataValidation type="list" allowBlank="1" showInputMessage="1" showErrorMessage="1" xr:uid="{4F8B7F57-AAEE-40A4-B878-788FF7257656}">
          <x14:formula1>
            <xm:f>SOURCE!$C$20:$C$21</xm:f>
          </x14:formula1>
          <xm:sqref>D11:D33</xm:sqref>
        </x14:dataValidation>
        <x14:dataValidation type="list" allowBlank="1" showInputMessage="1" showErrorMessage="1" xr:uid="{327FD0A9-6D9C-4A93-AF40-F1705D36127D}">
          <x14:formula1>
            <xm:f>SOURCE!$C$3:$C$13</xm:f>
          </x14:formula1>
          <xm:sqref>B11:B33</xm:sqref>
        </x14:dataValidation>
        <x14:dataValidation type="list" allowBlank="1" showInputMessage="1" showErrorMessage="1" xr:uid="{984AD98F-7B15-482F-8C50-676DC4C4ACEF}">
          <x14:formula1>
            <xm:f>SOURCE!$A$3:$A$13</xm:f>
          </x14:formula1>
          <xm:sqref>A11:A33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28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A31EE-A592-40E3-8FCD-B86DC657040C}">
          <x14:formula1>
            <xm:f>SOURCE!$E$3:$E$18</xm:f>
          </x14:formula1>
          <xm:sqref>C11:C33</xm:sqref>
        </x14:dataValidation>
        <x14:dataValidation type="list" allowBlank="1" showInputMessage="1" showErrorMessage="1" xr:uid="{E7AAB687-A9B3-4008-97C9-1EA24DB5B847}">
          <x14:formula1>
            <xm:f>SOURCE!$C$20:$C$21</xm:f>
          </x14:formula1>
          <xm:sqref>D11:D33</xm:sqref>
        </x14:dataValidation>
        <x14:dataValidation type="list" allowBlank="1" showInputMessage="1" showErrorMessage="1" xr:uid="{2C0D2E56-A2F4-4B92-9C96-5A3076AB935C}">
          <x14:formula1>
            <xm:f>SOURCE!$C$3:$C$13</xm:f>
          </x14:formula1>
          <xm:sqref>B11:B33</xm:sqref>
        </x14:dataValidation>
        <x14:dataValidation type="list" allowBlank="1" showInputMessage="1" showErrorMessage="1" xr:uid="{91BB336C-73D7-4F01-8771-E9B13E858DE2}">
          <x14:formula1>
            <xm:f>SOURCE!$A$3:$A$13</xm:f>
          </x14:formula1>
          <xm:sqref>A11:A33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45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2A3DA2-C819-4838-BB12-859A058193B7}">
          <x14:formula1>
            <xm:f>SOURCE!$E$3:$E$18</xm:f>
          </x14:formula1>
          <xm:sqref>C11:C33</xm:sqref>
        </x14:dataValidation>
        <x14:dataValidation type="list" allowBlank="1" showInputMessage="1" showErrorMessage="1" xr:uid="{F2739F7F-F2F6-4511-8D14-1BA8ECA0100B}">
          <x14:formula1>
            <xm:f>SOURCE!$C$20:$C$21</xm:f>
          </x14:formula1>
          <xm:sqref>D11:D33</xm:sqref>
        </x14:dataValidation>
        <x14:dataValidation type="list" allowBlank="1" showInputMessage="1" showErrorMessage="1" xr:uid="{C3B871F2-B23E-413E-B273-DCB9923A80F5}">
          <x14:formula1>
            <xm:f>SOURCE!$C$3:$C$13</xm:f>
          </x14:formula1>
          <xm:sqref>B11:B33</xm:sqref>
        </x14:dataValidation>
        <x14:dataValidation type="list" allowBlank="1" showInputMessage="1" showErrorMessage="1" xr:uid="{36893AEE-0B35-4BE4-A467-5E073AE2FE6A}">
          <x14:formula1>
            <xm:f>SOURCE!$A$3:$A$13</xm:f>
          </x14:formula1>
          <xm:sqref>A11:A33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topLeftCell="A6"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46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8F99E4-B5B4-41E0-9D30-80918C2C2C1F}">
          <x14:formula1>
            <xm:f>SOURCE!$E$3:$E$18</xm:f>
          </x14:formula1>
          <xm:sqref>C11:C33</xm:sqref>
        </x14:dataValidation>
        <x14:dataValidation type="list" allowBlank="1" showInputMessage="1" showErrorMessage="1" xr:uid="{CFDE9C44-947F-4D25-BF4F-6B4A86BD7B4F}">
          <x14:formula1>
            <xm:f>SOURCE!$C$20:$C$21</xm:f>
          </x14:formula1>
          <xm:sqref>D11:D33</xm:sqref>
        </x14:dataValidation>
        <x14:dataValidation type="list" allowBlank="1" showInputMessage="1" showErrorMessage="1" xr:uid="{7479CD01-B1C1-40A8-AEDE-F03343262AE7}">
          <x14:formula1>
            <xm:f>SOURCE!$C$3:$C$13</xm:f>
          </x14:formula1>
          <xm:sqref>B11:B33</xm:sqref>
        </x14:dataValidation>
        <x14:dataValidation type="list" allowBlank="1" showInputMessage="1" showErrorMessage="1" xr:uid="{BDFBD8DE-9EAA-4847-BB0E-5755CDFE88E6}">
          <x14:formula1>
            <xm:f>SOURCE!$A$3:$A$13</xm:f>
          </x14:formula1>
          <xm:sqref>A11:A33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topLeftCell="B1"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47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8E9976-EE60-4E1F-BA43-A49DAF2F16B3}">
          <x14:formula1>
            <xm:f>SOURCE!$E$3:$E$18</xm:f>
          </x14:formula1>
          <xm:sqref>C11:C33</xm:sqref>
        </x14:dataValidation>
        <x14:dataValidation type="list" allowBlank="1" showInputMessage="1" showErrorMessage="1" xr:uid="{D86DC12C-9859-49FF-A8EB-B4C9737BE190}">
          <x14:formula1>
            <xm:f>SOURCE!$C$20:$C$21</xm:f>
          </x14:formula1>
          <xm:sqref>D11:D33</xm:sqref>
        </x14:dataValidation>
        <x14:dataValidation type="list" allowBlank="1" showInputMessage="1" showErrorMessage="1" xr:uid="{C5A3BF24-5D5A-4DBD-9CB6-F3BE375971F3}">
          <x14:formula1>
            <xm:f>SOURCE!$C$3:$C$13</xm:f>
          </x14:formula1>
          <xm:sqref>B11:B33</xm:sqref>
        </x14:dataValidation>
        <x14:dataValidation type="list" allowBlank="1" showInputMessage="1" showErrorMessage="1" xr:uid="{774AB7F7-6B9C-4A25-A2DF-667EAB1D1C45}">
          <x14:formula1>
            <xm:f>SOURCE!$A$3:$A$13</xm:f>
          </x14:formula1>
          <xm:sqref>A11:A33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48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D5929E-5084-4D81-85F7-BB536C6804CD}">
          <x14:formula1>
            <xm:f>SOURCE!$E$3:$E$18</xm:f>
          </x14:formula1>
          <xm:sqref>C11:C33</xm:sqref>
        </x14:dataValidation>
        <x14:dataValidation type="list" allowBlank="1" showInputMessage="1" showErrorMessage="1" xr:uid="{F59B694F-815D-434F-8319-F5F9DED9E223}">
          <x14:formula1>
            <xm:f>SOURCE!$C$20:$C$21</xm:f>
          </x14:formula1>
          <xm:sqref>D11:D33</xm:sqref>
        </x14:dataValidation>
        <x14:dataValidation type="list" allowBlank="1" showInputMessage="1" showErrorMessage="1" xr:uid="{4848FA66-C64C-4307-8F70-24BFD3CBA4A6}">
          <x14:formula1>
            <xm:f>SOURCE!$C$3:$C$13</xm:f>
          </x14:formula1>
          <xm:sqref>B11:B33</xm:sqref>
        </x14:dataValidation>
        <x14:dataValidation type="list" allowBlank="1" showInputMessage="1" showErrorMessage="1" xr:uid="{31FAFD42-C64F-4235-AC2E-79D314C56046}">
          <x14:formula1>
            <xm:f>SOURCE!$A$3:$A$13</xm:f>
          </x14:formula1>
          <xm:sqref>A11:A33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50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D3F53B-741D-419B-9AFF-A451228B686F}">
          <x14:formula1>
            <xm:f>SOURCE!$E$3:$E$18</xm:f>
          </x14:formula1>
          <xm:sqref>C11:C33</xm:sqref>
        </x14:dataValidation>
        <x14:dataValidation type="list" allowBlank="1" showInputMessage="1" showErrorMessage="1" xr:uid="{5D805DE6-7A9C-4535-AD44-962BC0CB38FF}">
          <x14:formula1>
            <xm:f>SOURCE!$C$20:$C$21</xm:f>
          </x14:formula1>
          <xm:sqref>D11:D33</xm:sqref>
        </x14:dataValidation>
        <x14:dataValidation type="list" allowBlank="1" showInputMessage="1" showErrorMessage="1" xr:uid="{0EE06A43-1C5C-4BA1-B5E9-0B0CAC6B141A}">
          <x14:formula1>
            <xm:f>SOURCE!$C$3:$C$13</xm:f>
          </x14:formula1>
          <xm:sqref>B11:B33</xm:sqref>
        </x14:dataValidation>
        <x14:dataValidation type="list" allowBlank="1" showInputMessage="1" showErrorMessage="1" xr:uid="{7D852EF2-FBA4-4DFF-A77B-E0084E7BF0AA}">
          <x14:formula1>
            <xm:f>SOURCE!$A$3:$A$13</xm:f>
          </x14:formula1>
          <xm:sqref>A11:A33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49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DBCF52-5CB5-4555-A0D8-DBD510143DDD}">
          <x14:formula1>
            <xm:f>SOURCE!$E$3:$E$18</xm:f>
          </x14:formula1>
          <xm:sqref>C11:C33</xm:sqref>
        </x14:dataValidation>
        <x14:dataValidation type="list" allowBlank="1" showInputMessage="1" showErrorMessage="1" xr:uid="{2B201676-2D31-4A11-BB34-7B0A86CBEB41}">
          <x14:formula1>
            <xm:f>SOURCE!$C$20:$C$21</xm:f>
          </x14:formula1>
          <xm:sqref>D11:D33</xm:sqref>
        </x14:dataValidation>
        <x14:dataValidation type="list" allowBlank="1" showInputMessage="1" showErrorMessage="1" xr:uid="{774BFBB9-DB63-4A78-8F8F-63182D8B2664}">
          <x14:formula1>
            <xm:f>SOURCE!$C$3:$C$13</xm:f>
          </x14:formula1>
          <xm:sqref>B11:B33</xm:sqref>
        </x14:dataValidation>
        <x14:dataValidation type="list" allowBlank="1" showInputMessage="1" showErrorMessage="1" xr:uid="{66B72944-6A41-483D-8AEA-CE88F4DD08C0}">
          <x14:formula1>
            <xm:f>SOURCE!$A$3:$A$13</xm:f>
          </x14:formula1>
          <xm:sqref>A11:A33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51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C7A0EC-BA62-4F65-804F-D2A7FE026408}">
          <x14:formula1>
            <xm:f>SOURCE!$E$3:$E$18</xm:f>
          </x14:formula1>
          <xm:sqref>C11:C33</xm:sqref>
        </x14:dataValidation>
        <x14:dataValidation type="list" allowBlank="1" showInputMessage="1" showErrorMessage="1" xr:uid="{1EF90EB4-1CE0-4D4D-BAF7-0A8574C5B56A}">
          <x14:formula1>
            <xm:f>SOURCE!$C$20:$C$21</xm:f>
          </x14:formula1>
          <xm:sqref>D11:D33</xm:sqref>
        </x14:dataValidation>
        <x14:dataValidation type="list" allowBlank="1" showInputMessage="1" showErrorMessage="1" xr:uid="{07AF8B1A-7D45-4772-975C-C89D855F499B}">
          <x14:formula1>
            <xm:f>SOURCE!$C$3:$C$13</xm:f>
          </x14:formula1>
          <xm:sqref>B11:B33</xm:sqref>
        </x14:dataValidation>
        <x14:dataValidation type="list" allowBlank="1" showInputMessage="1" showErrorMessage="1" xr:uid="{A07FB70B-A2F2-4883-A14C-88B1798FB865}">
          <x14:formula1>
            <xm:f>SOURCE!$A$3:$A$13</xm:f>
          </x14:formula1>
          <xm:sqref>A11:A33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53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9339BF-0493-43A1-9E5D-207BD01F15F8}">
          <x14:formula1>
            <xm:f>SOURCE!$E$3:$E$18</xm:f>
          </x14:formula1>
          <xm:sqref>C11:C33</xm:sqref>
        </x14:dataValidation>
        <x14:dataValidation type="list" allowBlank="1" showInputMessage="1" showErrorMessage="1" xr:uid="{067E079A-D86B-4B9D-AB7A-B343DBF9DA84}">
          <x14:formula1>
            <xm:f>SOURCE!$C$20:$C$21</xm:f>
          </x14:formula1>
          <xm:sqref>D11:D33</xm:sqref>
        </x14:dataValidation>
        <x14:dataValidation type="list" allowBlank="1" showInputMessage="1" showErrorMessage="1" xr:uid="{E8004128-C698-467D-9295-5F3BDE73C0DC}">
          <x14:formula1>
            <xm:f>SOURCE!$C$3:$C$13</xm:f>
          </x14:formula1>
          <xm:sqref>B11:B33</xm:sqref>
        </x14:dataValidation>
        <x14:dataValidation type="list" allowBlank="1" showInputMessage="1" showErrorMessage="1" xr:uid="{7F712100-2CAE-4E1B-B094-D8C08C7044B4}">
          <x14:formula1>
            <xm:f>SOURCE!$A$3:$A$13</xm:f>
          </x14:formula1>
          <xm:sqref>A11:A33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52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5D109-F0FA-4970-9D3B-0EF54D368C76}">
          <x14:formula1>
            <xm:f>SOURCE!$E$3:$E$18</xm:f>
          </x14:formula1>
          <xm:sqref>C11:C33</xm:sqref>
        </x14:dataValidation>
        <x14:dataValidation type="list" allowBlank="1" showInputMessage="1" showErrorMessage="1" xr:uid="{7D415A2D-0551-4548-905C-02A0DC7F2D4A}">
          <x14:formula1>
            <xm:f>SOURCE!$C$20:$C$21</xm:f>
          </x14:formula1>
          <xm:sqref>D11:D33</xm:sqref>
        </x14:dataValidation>
        <x14:dataValidation type="list" allowBlank="1" showInputMessage="1" showErrorMessage="1" xr:uid="{9BC8AADF-BA99-44B8-BACB-83C950BF86AF}">
          <x14:formula1>
            <xm:f>SOURCE!$C$3:$C$13</xm:f>
          </x14:formula1>
          <xm:sqref>B11:B33</xm:sqref>
        </x14:dataValidation>
        <x14:dataValidation type="list" allowBlank="1" showInputMessage="1" showErrorMessage="1" xr:uid="{2F991C81-9552-49F6-B200-252B934BF04E}">
          <x14:formula1>
            <xm:f>SOURCE!$A$3:$A$13</xm:f>
          </x14:formula1>
          <xm:sqref>A11:A33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B15" sqref="B1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54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BC09E-73DD-4A97-AA71-898A53DB9054}">
          <x14:formula1>
            <xm:f>SOURCE!$E$3:$E$18</xm:f>
          </x14:formula1>
          <xm:sqref>C11:C33</xm:sqref>
        </x14:dataValidation>
        <x14:dataValidation type="list" allowBlank="1" showInputMessage="1" showErrorMessage="1" xr:uid="{3E573272-EB81-4966-87A5-CCA941AFF1A4}">
          <x14:formula1>
            <xm:f>SOURCE!$C$20:$C$21</xm:f>
          </x14:formula1>
          <xm:sqref>D11:D33</xm:sqref>
        </x14:dataValidation>
        <x14:dataValidation type="list" allowBlank="1" showInputMessage="1" showErrorMessage="1" xr:uid="{2E52BE88-A580-4924-A552-C2D9E17D2B98}">
          <x14:formula1>
            <xm:f>SOURCE!$C$3:$C$13</xm:f>
          </x14:formula1>
          <xm:sqref>B11:B33</xm:sqref>
        </x14:dataValidation>
        <x14:dataValidation type="list" allowBlank="1" showInputMessage="1" showErrorMessage="1" xr:uid="{4EFDAD75-5FBC-42C5-82CF-688972DC3631}">
          <x14:formula1>
            <xm:f>SOURCE!$A$3:$A$13</xm:f>
          </x14:formula1>
          <xm:sqref>A11:A33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55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CD1C7-FAFF-4791-A495-459FDA141A38}">
          <x14:formula1>
            <xm:f>SOURCE!$E$3:$E$18</xm:f>
          </x14:formula1>
          <xm:sqref>C11:C33</xm:sqref>
        </x14:dataValidation>
        <x14:dataValidation type="list" allowBlank="1" showInputMessage="1" showErrorMessage="1" xr:uid="{A50B6B61-6780-4790-8B19-DC35547B85A4}">
          <x14:formula1>
            <xm:f>SOURCE!$C$20:$C$21</xm:f>
          </x14:formula1>
          <xm:sqref>D11:D33</xm:sqref>
        </x14:dataValidation>
        <x14:dataValidation type="list" allowBlank="1" showInputMessage="1" showErrorMessage="1" xr:uid="{ECEB78B4-4874-438E-9943-6DEE3B162F2D}">
          <x14:formula1>
            <xm:f>SOURCE!$C$3:$C$13</xm:f>
          </x14:formula1>
          <xm:sqref>B11:B33</xm:sqref>
        </x14:dataValidation>
        <x14:dataValidation type="list" allowBlank="1" showInputMessage="1" showErrorMessage="1" xr:uid="{4B08AFB4-E867-4834-BF15-EC7489BCE000}">
          <x14:formula1>
            <xm:f>SOURCE!$A$3:$A$13</xm:f>
          </x14:formula1>
          <xm:sqref>A11:A33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56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F060EA-E671-407A-A773-A878385D2DA2}">
          <x14:formula1>
            <xm:f>SOURCE!$E$3:$E$18</xm:f>
          </x14:formula1>
          <xm:sqref>C11:C33</xm:sqref>
        </x14:dataValidation>
        <x14:dataValidation type="list" allowBlank="1" showInputMessage="1" showErrorMessage="1" xr:uid="{2C65CDD8-AE6A-4AF2-B3D2-66E9BA4A227D}">
          <x14:formula1>
            <xm:f>SOURCE!$C$20:$C$21</xm:f>
          </x14:formula1>
          <xm:sqref>D11:D33</xm:sqref>
        </x14:dataValidation>
        <x14:dataValidation type="list" allowBlank="1" showInputMessage="1" showErrorMessage="1" xr:uid="{2FB880DC-0DB4-47C8-AF07-3AD585407AA5}">
          <x14:formula1>
            <xm:f>SOURCE!$C$3:$C$13</xm:f>
          </x14:formula1>
          <xm:sqref>B11:B33</xm:sqref>
        </x14:dataValidation>
        <x14:dataValidation type="list" allowBlank="1" showInputMessage="1" showErrorMessage="1" xr:uid="{B1F1890F-37B0-4EFE-AEC8-F1D2578F7291}">
          <x14:formula1>
            <xm:f>SOURCE!$A$3:$A$13</xm:f>
          </x14:formula1>
          <xm:sqref>A11:A33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D8922E-E438-41E4-9508-5EAA8A7A8871}">
          <x14:formula1>
            <xm:f>SOURCE!$E$3:$E$18</xm:f>
          </x14:formula1>
          <xm:sqref>C11:C33</xm:sqref>
        </x14:dataValidation>
        <x14:dataValidation type="list" allowBlank="1" showInputMessage="1" showErrorMessage="1" xr:uid="{4CDD1BB1-C2CB-4951-8BA9-50AAAA139921}">
          <x14:formula1>
            <xm:f>SOURCE!$C$20:$C$21</xm:f>
          </x14:formula1>
          <xm:sqref>D11:D33</xm:sqref>
        </x14:dataValidation>
        <x14:dataValidation type="list" allowBlank="1" showInputMessage="1" showErrorMessage="1" xr:uid="{53A6C178-DCCE-4ABC-B3A1-C346542D4038}">
          <x14:formula1>
            <xm:f>SOURCE!$C$3:$C$13</xm:f>
          </x14:formula1>
          <xm:sqref>B11:B33</xm:sqref>
        </x14:dataValidation>
        <x14:dataValidation type="list" allowBlank="1" showInputMessage="1" showErrorMessage="1" xr:uid="{77BE4EEE-E65D-4583-A497-D659A0EC75D4}">
          <x14:formula1>
            <xm:f>SOURCE!$A$3:$A$13</xm:f>
          </x14:formula1>
          <xm:sqref>A11:A33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A110B6-EAD4-4E6D-B415-C2B2BD579468}">
          <x14:formula1>
            <xm:f>SOURCE!$E$3:$E$18</xm:f>
          </x14:formula1>
          <xm:sqref>C11:C33</xm:sqref>
        </x14:dataValidation>
        <x14:dataValidation type="list" allowBlank="1" showInputMessage="1" showErrorMessage="1" xr:uid="{CEB7E90A-97A5-4483-AA05-649C3858A49E}">
          <x14:formula1>
            <xm:f>SOURCE!$C$20:$C$21</xm:f>
          </x14:formula1>
          <xm:sqref>D11:D33</xm:sqref>
        </x14:dataValidation>
        <x14:dataValidation type="list" allowBlank="1" showInputMessage="1" showErrorMessage="1" xr:uid="{FBB83F9C-94C0-4503-9757-D0798F6182DD}">
          <x14:formula1>
            <xm:f>SOURCE!$C$3:$C$13</xm:f>
          </x14:formula1>
          <xm:sqref>B11:B33</xm:sqref>
        </x14:dataValidation>
        <x14:dataValidation type="list" allowBlank="1" showInputMessage="1" showErrorMessage="1" xr:uid="{E613CC73-4169-4DEC-B682-D3253CC31438}">
          <x14:formula1>
            <xm:f>SOURCE!$A$3:$A$13</xm:f>
          </x14:formula1>
          <xm:sqref>A11:A33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59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1E583-38A3-43FD-9C34-EBBB84673364}">
          <x14:formula1>
            <xm:f>SOURCE!$E$3:$E$18</xm:f>
          </x14:formula1>
          <xm:sqref>C11:C33</xm:sqref>
        </x14:dataValidation>
        <x14:dataValidation type="list" allowBlank="1" showInputMessage="1" showErrorMessage="1" xr:uid="{C6BA2B90-AD14-4C06-8A90-0E58AAA8E8EB}">
          <x14:formula1>
            <xm:f>SOURCE!$C$20:$C$21</xm:f>
          </x14:formula1>
          <xm:sqref>D11:D33</xm:sqref>
        </x14:dataValidation>
        <x14:dataValidation type="list" allowBlank="1" showInputMessage="1" showErrorMessage="1" xr:uid="{11A13760-A035-4E72-B6B7-6C12EF85B689}">
          <x14:formula1>
            <xm:f>SOURCE!$C$3:$C$13</xm:f>
          </x14:formula1>
          <xm:sqref>B11:B33</xm:sqref>
        </x14:dataValidation>
        <x14:dataValidation type="list" allowBlank="1" showInputMessage="1" showErrorMessage="1" xr:uid="{549BBB19-D4D0-46B2-8852-B215B4320FEF}">
          <x14:formula1>
            <xm:f>SOURCE!$A$3:$A$13</xm:f>
          </x14:formula1>
          <xm:sqref>A11:A33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60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11CDCB-FB9D-4363-839D-4C0E079B386F}">
          <x14:formula1>
            <xm:f>SOURCE!$E$3:$E$18</xm:f>
          </x14:formula1>
          <xm:sqref>C11:C33</xm:sqref>
        </x14:dataValidation>
        <x14:dataValidation type="list" allowBlank="1" showInputMessage="1" showErrorMessage="1" xr:uid="{B4CA8A01-BD9D-416E-BA6B-57CB1FC53993}">
          <x14:formula1>
            <xm:f>SOURCE!$C$20:$C$21</xm:f>
          </x14:formula1>
          <xm:sqref>D11:D33</xm:sqref>
        </x14:dataValidation>
        <x14:dataValidation type="list" allowBlank="1" showInputMessage="1" showErrorMessage="1" xr:uid="{6DAFCA4E-5B39-4309-B211-B4EBED9A8150}">
          <x14:formula1>
            <xm:f>SOURCE!$C$3:$C$13</xm:f>
          </x14:formula1>
          <xm:sqref>B11:B33</xm:sqref>
        </x14:dataValidation>
        <x14:dataValidation type="list" allowBlank="1" showInputMessage="1" showErrorMessage="1" xr:uid="{8F07E322-9955-4EB2-BB80-3366D0FB5E59}">
          <x14:formula1>
            <xm:f>SOURCE!$A$3:$A$13</xm:f>
          </x14:formula1>
          <xm:sqref>A11:A33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61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45701-6D4D-4627-A96A-B43C9572A25F}">
          <x14:formula1>
            <xm:f>SOURCE!$E$3:$E$18</xm:f>
          </x14:formula1>
          <xm:sqref>C11:C33</xm:sqref>
        </x14:dataValidation>
        <x14:dataValidation type="list" allowBlank="1" showInputMessage="1" showErrorMessage="1" xr:uid="{AA1DDF0E-A295-4FCB-9190-831F5ACC8886}">
          <x14:formula1>
            <xm:f>SOURCE!$C$20:$C$21</xm:f>
          </x14:formula1>
          <xm:sqref>D11:D33</xm:sqref>
        </x14:dataValidation>
        <x14:dataValidation type="list" allowBlank="1" showInputMessage="1" showErrorMessage="1" xr:uid="{C1F7DFDB-1AB8-4261-987A-F1844B1D8734}">
          <x14:formula1>
            <xm:f>SOURCE!$C$3:$C$13</xm:f>
          </x14:formula1>
          <xm:sqref>B11:B33</xm:sqref>
        </x14:dataValidation>
        <x14:dataValidation type="list" allowBlank="1" showInputMessage="1" showErrorMessage="1" xr:uid="{2DC8BDCB-80CB-4F91-9A81-01A251C9CDC3}">
          <x14:formula1>
            <xm:f>SOURCE!$A$3:$A$13</xm:f>
          </x14:formula1>
          <xm:sqref>A11:A33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62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F66BE-853F-4D18-9EAD-735412D3E212}">
          <x14:formula1>
            <xm:f>SOURCE!$E$3:$E$18</xm:f>
          </x14:formula1>
          <xm:sqref>C11:C33</xm:sqref>
        </x14:dataValidation>
        <x14:dataValidation type="list" allowBlank="1" showInputMessage="1" showErrorMessage="1" xr:uid="{989F0A29-EED0-4909-900D-38F24B0BB648}">
          <x14:formula1>
            <xm:f>SOURCE!$C$20:$C$21</xm:f>
          </x14:formula1>
          <xm:sqref>D11:D33</xm:sqref>
        </x14:dataValidation>
        <x14:dataValidation type="list" allowBlank="1" showInputMessage="1" showErrorMessage="1" xr:uid="{3CEB4DD7-B358-4A44-9C58-F1CDD453A0A3}">
          <x14:formula1>
            <xm:f>SOURCE!$C$3:$C$13</xm:f>
          </x14:formula1>
          <xm:sqref>B11:B33</xm:sqref>
        </x14:dataValidation>
        <x14:dataValidation type="list" allowBlank="1" showInputMessage="1" showErrorMessage="1" xr:uid="{22039279-4369-4D49-AD6A-E42C282EB14A}">
          <x14:formula1>
            <xm:f>SOURCE!$A$3:$A$13</xm:f>
          </x14:formula1>
          <xm:sqref>A11:A33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63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52F64-2FE8-4168-9411-9676AE437F28}">
          <x14:formula1>
            <xm:f>SOURCE!$E$3:$E$18</xm:f>
          </x14:formula1>
          <xm:sqref>C11:C33</xm:sqref>
        </x14:dataValidation>
        <x14:dataValidation type="list" allowBlank="1" showInputMessage="1" showErrorMessage="1" xr:uid="{1CA16284-DAB9-4E71-AA0F-52B1CB5A7867}">
          <x14:formula1>
            <xm:f>SOURCE!$C$20:$C$21</xm:f>
          </x14:formula1>
          <xm:sqref>D11:D33</xm:sqref>
        </x14:dataValidation>
        <x14:dataValidation type="list" allowBlank="1" showInputMessage="1" showErrorMessage="1" xr:uid="{CE3C8A68-E8B2-41B1-8BCF-394A237F5951}">
          <x14:formula1>
            <xm:f>SOURCE!$C$3:$C$13</xm:f>
          </x14:formula1>
          <xm:sqref>B11:B33</xm:sqref>
        </x14:dataValidation>
        <x14:dataValidation type="list" allowBlank="1" showInputMessage="1" showErrorMessage="1" xr:uid="{0626B49E-9C9C-4853-B7B5-9A56CC7291D8}">
          <x14:formula1>
            <xm:f>SOURCE!$A$3:$A$13</xm:f>
          </x14:formula1>
          <xm:sqref>A11:A33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64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00AF09-64AF-431A-A780-A2201EF5F971}">
          <x14:formula1>
            <xm:f>SOURCE!$E$3:$E$18</xm:f>
          </x14:formula1>
          <xm:sqref>C11:C33</xm:sqref>
        </x14:dataValidation>
        <x14:dataValidation type="list" allowBlank="1" showInputMessage="1" showErrorMessage="1" xr:uid="{6217B748-851D-4C9D-8752-4EE1C8F33F6E}">
          <x14:formula1>
            <xm:f>SOURCE!$C$20:$C$21</xm:f>
          </x14:formula1>
          <xm:sqref>D11:D33</xm:sqref>
        </x14:dataValidation>
        <x14:dataValidation type="list" allowBlank="1" showInputMessage="1" showErrorMessage="1" xr:uid="{E24397CF-D07B-4101-9144-10E3A8940F22}">
          <x14:formula1>
            <xm:f>SOURCE!$C$3:$C$13</xm:f>
          </x14:formula1>
          <xm:sqref>B11:B33</xm:sqref>
        </x14:dataValidation>
        <x14:dataValidation type="list" allowBlank="1" showInputMessage="1" showErrorMessage="1" xr:uid="{C754487F-DF1D-4BF1-91A8-E784D227A7F3}">
          <x14:formula1>
            <xm:f>SOURCE!$A$3:$A$13</xm:f>
          </x14:formula1>
          <xm:sqref>A11:A33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65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1A7189-E93C-4800-9B43-751955E73CB3}">
          <x14:formula1>
            <xm:f>SOURCE!$E$3:$E$18</xm:f>
          </x14:formula1>
          <xm:sqref>C11:C33</xm:sqref>
        </x14:dataValidation>
        <x14:dataValidation type="list" allowBlank="1" showInputMessage="1" showErrorMessage="1" xr:uid="{345AF76C-3B38-4FC0-AFD9-852067EF43D4}">
          <x14:formula1>
            <xm:f>SOURCE!$C$20:$C$21</xm:f>
          </x14:formula1>
          <xm:sqref>D11:D33</xm:sqref>
        </x14:dataValidation>
        <x14:dataValidation type="list" allowBlank="1" showInputMessage="1" showErrorMessage="1" xr:uid="{76769412-569F-4A16-9BEA-85D67E0B8ADF}">
          <x14:formula1>
            <xm:f>SOURCE!$C$3:$C$13</xm:f>
          </x14:formula1>
          <xm:sqref>B11:B33</xm:sqref>
        </x14:dataValidation>
        <x14:dataValidation type="list" allowBlank="1" showInputMessage="1" showErrorMessage="1" xr:uid="{45B62E9D-1C4B-40D7-801B-B6D543D98314}">
          <x14:formula1>
            <xm:f>SOURCE!$A$3:$A$13</xm:f>
          </x14:formula1>
          <xm:sqref>A11:A33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66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9E270-D0C6-4043-9CE6-E407C24045FD}">
          <x14:formula1>
            <xm:f>SOURCE!$E$3:$E$18</xm:f>
          </x14:formula1>
          <xm:sqref>C11:C33</xm:sqref>
        </x14:dataValidation>
        <x14:dataValidation type="list" allowBlank="1" showInputMessage="1" showErrorMessage="1" xr:uid="{EE2FC10D-5D10-47C1-9D83-C33F47191C0F}">
          <x14:formula1>
            <xm:f>SOURCE!$C$20:$C$21</xm:f>
          </x14:formula1>
          <xm:sqref>D11:D33</xm:sqref>
        </x14:dataValidation>
        <x14:dataValidation type="list" allowBlank="1" showInputMessage="1" showErrorMessage="1" xr:uid="{488410F9-38EC-4D46-A5E6-8DDEC3E7344F}">
          <x14:formula1>
            <xm:f>SOURCE!$C$3:$C$13</xm:f>
          </x14:formula1>
          <xm:sqref>B11:B33</xm:sqref>
        </x14:dataValidation>
        <x14:dataValidation type="list" allowBlank="1" showInputMessage="1" showErrorMessage="1" xr:uid="{5B44056C-C501-4D55-B5BA-4F0F5D2915D4}">
          <x14:formula1>
            <xm:f>SOURCE!$A$3:$A$13</xm:f>
          </x14:formula1>
          <xm:sqref>A11:A33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D95A4-1FB8-4AF2-8EC4-070807441AE3}">
          <x14:formula1>
            <xm:f>SOURCE!$E$3:$E$18</xm:f>
          </x14:formula1>
          <xm:sqref>C11:C33</xm:sqref>
        </x14:dataValidation>
        <x14:dataValidation type="list" allowBlank="1" showInputMessage="1" showErrorMessage="1" xr:uid="{3372E8D4-8B87-4D7B-BA1E-99C3F71197F4}">
          <x14:formula1>
            <xm:f>SOURCE!$C$20:$C$21</xm:f>
          </x14:formula1>
          <xm:sqref>D11:D33</xm:sqref>
        </x14:dataValidation>
        <x14:dataValidation type="list" allowBlank="1" showInputMessage="1" showErrorMessage="1" xr:uid="{BA022196-903D-44AE-A85A-45C71552869D}">
          <x14:formula1>
            <xm:f>SOURCE!$C$3:$C$13</xm:f>
          </x14:formula1>
          <xm:sqref>B11:B33</xm:sqref>
        </x14:dataValidation>
        <x14:dataValidation type="list" allowBlank="1" showInputMessage="1" showErrorMessage="1" xr:uid="{D6EA9554-70AB-4FAE-891B-0AF00151AACF}">
          <x14:formula1>
            <xm:f>SOURCE!$A$3:$A$13</xm:f>
          </x14:formula1>
          <xm:sqref>A11:A33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B389D-61E2-4BB2-B452-A8D8E9FA1166}">
          <x14:formula1>
            <xm:f>SOURCE!$E$3:$E$18</xm:f>
          </x14:formula1>
          <xm:sqref>C11:C33</xm:sqref>
        </x14:dataValidation>
        <x14:dataValidation type="list" allowBlank="1" showInputMessage="1" showErrorMessage="1" xr:uid="{FE559E07-AF82-4F55-AE4C-70992C4C5EF5}">
          <x14:formula1>
            <xm:f>SOURCE!$C$20:$C$21</xm:f>
          </x14:formula1>
          <xm:sqref>D11:D33</xm:sqref>
        </x14:dataValidation>
        <x14:dataValidation type="list" allowBlank="1" showInputMessage="1" showErrorMessage="1" xr:uid="{E20CE94B-7DE9-4808-A98B-470A519954FC}">
          <x14:formula1>
            <xm:f>SOURCE!$C$3:$C$13</xm:f>
          </x14:formula1>
          <xm:sqref>B11:B33</xm:sqref>
        </x14:dataValidation>
        <x14:dataValidation type="list" allowBlank="1" showInputMessage="1" showErrorMessage="1" xr:uid="{D6B8E0FA-0EFD-4CD3-9ED2-F9EC5062D144}">
          <x14:formula1>
            <xm:f>SOURCE!$A$3:$A$13</xm:f>
          </x14:formula1>
          <xm:sqref>A11:A33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69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28A87-58A1-4A7E-91DF-60539FAFF328}">
          <x14:formula1>
            <xm:f>SOURCE!$E$3:$E$18</xm:f>
          </x14:formula1>
          <xm:sqref>C11:C33</xm:sqref>
        </x14:dataValidation>
        <x14:dataValidation type="list" allowBlank="1" showInputMessage="1" showErrorMessage="1" xr:uid="{15017CFA-BFCC-4CA8-A9C0-2387E9A00066}">
          <x14:formula1>
            <xm:f>SOURCE!$C$20:$C$21</xm:f>
          </x14:formula1>
          <xm:sqref>D11:D33</xm:sqref>
        </x14:dataValidation>
        <x14:dataValidation type="list" allowBlank="1" showInputMessage="1" showErrorMessage="1" xr:uid="{B5ECE327-B347-47A3-866D-37C38EB1FAF3}">
          <x14:formula1>
            <xm:f>SOURCE!$C$3:$C$13</xm:f>
          </x14:formula1>
          <xm:sqref>B11:B33</xm:sqref>
        </x14:dataValidation>
        <x14:dataValidation type="list" allowBlank="1" showInputMessage="1" showErrorMessage="1" xr:uid="{1BF1E3E6-2A70-4BD0-BC2A-0DAA349A02C3}">
          <x14:formula1>
            <xm:f>SOURCE!$A$3:$A$13</xm:f>
          </x14:formula1>
          <xm:sqref>A11:A33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70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F828E7-306F-443E-A0F9-612E04E16DF4}">
          <x14:formula1>
            <xm:f>SOURCE!$E$3:$E$18</xm:f>
          </x14:formula1>
          <xm:sqref>C11:C33</xm:sqref>
        </x14:dataValidation>
        <x14:dataValidation type="list" allowBlank="1" showInputMessage="1" showErrorMessage="1" xr:uid="{BEE33E7F-B219-482E-B96D-06A36198663D}">
          <x14:formula1>
            <xm:f>SOURCE!$C$20:$C$21</xm:f>
          </x14:formula1>
          <xm:sqref>D11:D33</xm:sqref>
        </x14:dataValidation>
        <x14:dataValidation type="list" allowBlank="1" showInputMessage="1" showErrorMessage="1" xr:uid="{F4C74AFE-5BC5-48F3-9384-296C89DBE4BC}">
          <x14:formula1>
            <xm:f>SOURCE!$C$3:$C$13</xm:f>
          </x14:formula1>
          <xm:sqref>B11:B33</xm:sqref>
        </x14:dataValidation>
        <x14:dataValidation type="list" allowBlank="1" showInputMessage="1" showErrorMessage="1" xr:uid="{29AA767C-AD74-40CA-93EE-658CBA51B843}">
          <x14:formula1>
            <xm:f>SOURCE!$A$3:$A$13</xm:f>
          </x14:formula1>
          <xm:sqref>A11:A33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71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D05AA-F65F-46B1-9C7C-3633A5882B77}">
          <x14:formula1>
            <xm:f>SOURCE!$E$3:$E$18</xm:f>
          </x14:formula1>
          <xm:sqref>C11:C33</xm:sqref>
        </x14:dataValidation>
        <x14:dataValidation type="list" allowBlank="1" showInputMessage="1" showErrorMessage="1" xr:uid="{BF5ED33E-5BF5-4715-A0BC-03FC3545C79D}">
          <x14:formula1>
            <xm:f>SOURCE!$C$20:$C$21</xm:f>
          </x14:formula1>
          <xm:sqref>D11:D33</xm:sqref>
        </x14:dataValidation>
        <x14:dataValidation type="list" allowBlank="1" showInputMessage="1" showErrorMessage="1" xr:uid="{5E85D2A0-7CB1-4D6C-B507-44CEF0A078EF}">
          <x14:formula1>
            <xm:f>SOURCE!$C$3:$C$13</xm:f>
          </x14:formula1>
          <xm:sqref>B11:B33</xm:sqref>
        </x14:dataValidation>
        <x14:dataValidation type="list" allowBlank="1" showInputMessage="1" showErrorMessage="1" xr:uid="{1F3CE242-254D-44B3-9375-69D19B1D2BBA}">
          <x14:formula1>
            <xm:f>SOURCE!$A$3:$A$13</xm:f>
          </x14:formula1>
          <xm:sqref>A11:A33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72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584A2F-7D24-4AA7-8310-994A717C3348}">
          <x14:formula1>
            <xm:f>SOURCE!$E$3:$E$18</xm:f>
          </x14:formula1>
          <xm:sqref>C11:C33</xm:sqref>
        </x14:dataValidation>
        <x14:dataValidation type="list" allowBlank="1" showInputMessage="1" showErrorMessage="1" xr:uid="{513DFE65-96F4-472D-9346-AD71886AAA0D}">
          <x14:formula1>
            <xm:f>SOURCE!$C$20:$C$21</xm:f>
          </x14:formula1>
          <xm:sqref>D11:D33</xm:sqref>
        </x14:dataValidation>
        <x14:dataValidation type="list" allowBlank="1" showInputMessage="1" showErrorMessage="1" xr:uid="{15525F1E-1A15-46E1-812D-B58EB198F5C6}">
          <x14:formula1>
            <xm:f>SOURCE!$C$3:$C$13</xm:f>
          </x14:formula1>
          <xm:sqref>B11:B33</xm:sqref>
        </x14:dataValidation>
        <x14:dataValidation type="list" allowBlank="1" showInputMessage="1" showErrorMessage="1" xr:uid="{162A288F-F131-4899-A5A9-32777192AAFA}">
          <x14:formula1>
            <xm:f>SOURCE!$A$3:$A$13</xm:f>
          </x14:formula1>
          <xm:sqref>A11:A33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73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4F6E98-2890-405C-AC76-45F7F1632724}">
          <x14:formula1>
            <xm:f>SOURCE!$E$3:$E$18</xm:f>
          </x14:formula1>
          <xm:sqref>C11:C33</xm:sqref>
        </x14:dataValidation>
        <x14:dataValidation type="list" allowBlank="1" showInputMessage="1" showErrorMessage="1" xr:uid="{6BAB70E1-0FC5-4B54-8C8E-099B4DC6F16C}">
          <x14:formula1>
            <xm:f>SOURCE!$C$20:$C$21</xm:f>
          </x14:formula1>
          <xm:sqref>D11:D33</xm:sqref>
        </x14:dataValidation>
        <x14:dataValidation type="list" allowBlank="1" showInputMessage="1" showErrorMessage="1" xr:uid="{B1FC760B-EAA6-4194-B37A-EE0D21EECAB7}">
          <x14:formula1>
            <xm:f>SOURCE!$C$3:$C$13</xm:f>
          </x14:formula1>
          <xm:sqref>B11:B33</xm:sqref>
        </x14:dataValidation>
        <x14:dataValidation type="list" allowBlank="1" showInputMessage="1" showErrorMessage="1" xr:uid="{27E5E250-10C7-44BB-88FE-C4EDE914C3DB}">
          <x14:formula1>
            <xm:f>SOURCE!$A$3:$A$13</xm:f>
          </x14:formula1>
          <xm:sqref>A11:A33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74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7A8C0D-E7BA-44ED-AF41-E6C756E0EDBA}">
          <x14:formula1>
            <xm:f>SOURCE!$E$3:$E$18</xm:f>
          </x14:formula1>
          <xm:sqref>C11:C33</xm:sqref>
        </x14:dataValidation>
        <x14:dataValidation type="list" allowBlank="1" showInputMessage="1" showErrorMessage="1" xr:uid="{0A4091D5-CAF5-4EDD-855B-EB6CF1634E1C}">
          <x14:formula1>
            <xm:f>SOURCE!$C$20:$C$21</xm:f>
          </x14:formula1>
          <xm:sqref>D11:D33</xm:sqref>
        </x14:dataValidation>
        <x14:dataValidation type="list" allowBlank="1" showInputMessage="1" showErrorMessage="1" xr:uid="{582C7F56-98AD-40C7-836D-F944D2E21604}">
          <x14:formula1>
            <xm:f>SOURCE!$C$3:$C$13</xm:f>
          </x14:formula1>
          <xm:sqref>B11:B33</xm:sqref>
        </x14:dataValidation>
        <x14:dataValidation type="list" allowBlank="1" showInputMessage="1" showErrorMessage="1" xr:uid="{CDC03057-433C-42A6-8FD0-997EB96EF653}">
          <x14:formula1>
            <xm:f>SOURCE!$A$3:$A$13</xm:f>
          </x14:formula1>
          <xm:sqref>A11:A33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75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24C96-D86B-4505-B81D-0658B7DA771C}">
          <x14:formula1>
            <xm:f>SOURCE!$E$3:$E$18</xm:f>
          </x14:formula1>
          <xm:sqref>C11:C33</xm:sqref>
        </x14:dataValidation>
        <x14:dataValidation type="list" allowBlank="1" showInputMessage="1" showErrorMessage="1" xr:uid="{B6046C41-D660-4E32-900C-0B0F8F3D3D99}">
          <x14:formula1>
            <xm:f>SOURCE!$C$20:$C$21</xm:f>
          </x14:formula1>
          <xm:sqref>D11:D33</xm:sqref>
        </x14:dataValidation>
        <x14:dataValidation type="list" allowBlank="1" showInputMessage="1" showErrorMessage="1" xr:uid="{6FB1E8FE-8C39-4378-9630-F3FE92E5B524}">
          <x14:formula1>
            <xm:f>SOURCE!$C$3:$C$13</xm:f>
          </x14:formula1>
          <xm:sqref>B11:B33</xm:sqref>
        </x14:dataValidation>
        <x14:dataValidation type="list" allowBlank="1" showInputMessage="1" showErrorMessage="1" xr:uid="{9B43C8A8-5CFD-41EF-B6B5-9FEBEA343F40}">
          <x14:formula1>
            <xm:f>SOURCE!$A$3:$A$13</xm:f>
          </x14:formula1>
          <xm:sqref>A11:A33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76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7600F-F70E-48B2-8B44-9A8B9A2D8978}">
          <x14:formula1>
            <xm:f>SOURCE!$E$3:$E$18</xm:f>
          </x14:formula1>
          <xm:sqref>C11:C33</xm:sqref>
        </x14:dataValidation>
        <x14:dataValidation type="list" allowBlank="1" showInputMessage="1" showErrorMessage="1" xr:uid="{22C28FF9-B4AB-467C-A722-5B1127BFD1B9}">
          <x14:formula1>
            <xm:f>SOURCE!$C$20:$C$21</xm:f>
          </x14:formula1>
          <xm:sqref>D11:D33</xm:sqref>
        </x14:dataValidation>
        <x14:dataValidation type="list" allowBlank="1" showInputMessage="1" showErrorMessage="1" xr:uid="{40B7045E-2E74-499A-9E11-F18696FDADD1}">
          <x14:formula1>
            <xm:f>SOURCE!$C$3:$C$13</xm:f>
          </x14:formula1>
          <xm:sqref>B11:B33</xm:sqref>
        </x14:dataValidation>
        <x14:dataValidation type="list" allowBlank="1" showInputMessage="1" showErrorMessage="1" xr:uid="{39A81D6C-8505-4C55-8EC6-14423346E7AD}">
          <x14:formula1>
            <xm:f>SOURCE!$A$3:$A$13</xm:f>
          </x14:formula1>
          <xm:sqref>A11:A33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77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F0296C-D43F-445A-8E6D-EC9556224C7E}">
          <x14:formula1>
            <xm:f>SOURCE!$E$3:$E$18</xm:f>
          </x14:formula1>
          <xm:sqref>C11:C33</xm:sqref>
        </x14:dataValidation>
        <x14:dataValidation type="list" allowBlank="1" showInputMessage="1" showErrorMessage="1" xr:uid="{A9435A05-5F71-4710-B825-7F064DB92254}">
          <x14:formula1>
            <xm:f>SOURCE!$C$20:$C$21</xm:f>
          </x14:formula1>
          <xm:sqref>D11:D33</xm:sqref>
        </x14:dataValidation>
        <x14:dataValidation type="list" allowBlank="1" showInputMessage="1" showErrorMessage="1" xr:uid="{96DBEFE9-95FF-484E-B76D-3C71DB876F49}">
          <x14:formula1>
            <xm:f>SOURCE!$C$3:$C$13</xm:f>
          </x14:formula1>
          <xm:sqref>B11:B33</xm:sqref>
        </x14:dataValidation>
        <x14:dataValidation type="list" allowBlank="1" showInputMessage="1" showErrorMessage="1" xr:uid="{4E2EB798-B011-4759-81FE-A5E12726E2BE}">
          <x14:formula1>
            <xm:f>SOURCE!$A$3:$A$13</xm:f>
          </x14:formula1>
          <xm:sqref>A11:A33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78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350DFB-1168-45BB-98B3-EBBBC2F2CD0A}">
          <x14:formula1>
            <xm:f>SOURCE!$E$3:$E$18</xm:f>
          </x14:formula1>
          <xm:sqref>C11:C33</xm:sqref>
        </x14:dataValidation>
        <x14:dataValidation type="list" allowBlank="1" showInputMessage="1" showErrorMessage="1" xr:uid="{C2494C5A-B92C-4D2C-8423-9D3FED4E4664}">
          <x14:formula1>
            <xm:f>SOURCE!$C$20:$C$21</xm:f>
          </x14:formula1>
          <xm:sqref>D11:D33</xm:sqref>
        </x14:dataValidation>
        <x14:dataValidation type="list" allowBlank="1" showInputMessage="1" showErrorMessage="1" xr:uid="{9F3734EB-AA2E-48B7-9E6E-CFDD46338A73}">
          <x14:formula1>
            <xm:f>SOURCE!$C$3:$C$13</xm:f>
          </x14:formula1>
          <xm:sqref>B11:B33</xm:sqref>
        </x14:dataValidation>
        <x14:dataValidation type="list" allowBlank="1" showInputMessage="1" showErrorMessage="1" xr:uid="{A7A753B4-F49C-4AFA-A082-F94B11D5FFB4}">
          <x14:formula1>
            <xm:f>SOURCE!$A$3:$A$13</xm:f>
          </x14:formula1>
          <xm:sqref>A11:A33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79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1FF9C0-E43E-4A22-9605-CCA5A5F4B005}">
          <x14:formula1>
            <xm:f>SOURCE!$E$3:$E$18</xm:f>
          </x14:formula1>
          <xm:sqref>C11:C33</xm:sqref>
        </x14:dataValidation>
        <x14:dataValidation type="list" allowBlank="1" showInputMessage="1" showErrorMessage="1" xr:uid="{8A3EF291-9FD3-4153-8482-111B8F0FD414}">
          <x14:formula1>
            <xm:f>SOURCE!$C$20:$C$21</xm:f>
          </x14:formula1>
          <xm:sqref>D11:D33</xm:sqref>
        </x14:dataValidation>
        <x14:dataValidation type="list" allowBlank="1" showInputMessage="1" showErrorMessage="1" xr:uid="{B022579C-DCA8-4394-AF6C-6A2C37836576}">
          <x14:formula1>
            <xm:f>SOURCE!$C$3:$C$13</xm:f>
          </x14:formula1>
          <xm:sqref>B11:B33</xm:sqref>
        </x14:dataValidation>
        <x14:dataValidation type="list" allowBlank="1" showInputMessage="1" showErrorMessage="1" xr:uid="{7BD0828C-5DDD-44DF-9C8F-9E1B5C667619}">
          <x14:formula1>
            <xm:f>SOURCE!$A$3:$A$13</xm:f>
          </x14:formula1>
          <xm:sqref>A11:A33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80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0284E82-2542-4D41-9E49-83DAC96078A7}">
          <x14:formula1>
            <xm:f>SOURCE!$E$3:$E$18</xm:f>
          </x14:formula1>
          <xm:sqref>C11:C33</xm:sqref>
        </x14:dataValidation>
        <x14:dataValidation type="list" allowBlank="1" showInputMessage="1" showErrorMessage="1" xr:uid="{F34FF9DD-FCA1-42B8-88F6-35F6F4531CA0}">
          <x14:formula1>
            <xm:f>SOURCE!$C$20:$C$21</xm:f>
          </x14:formula1>
          <xm:sqref>D11:D33</xm:sqref>
        </x14:dataValidation>
        <x14:dataValidation type="list" allowBlank="1" showInputMessage="1" showErrorMessage="1" xr:uid="{F55A8CB5-0946-425C-B42D-E905A85D0D41}">
          <x14:formula1>
            <xm:f>SOURCE!$C$3:$C$13</xm:f>
          </x14:formula1>
          <xm:sqref>B11:B33</xm:sqref>
        </x14:dataValidation>
        <x14:dataValidation type="list" allowBlank="1" showInputMessage="1" showErrorMessage="1" xr:uid="{8953D962-25E7-46E8-939F-E49B8AF42DC3}">
          <x14:formula1>
            <xm:f>SOURCE!$A$3:$A$13</xm:f>
          </x14:formula1>
          <xm:sqref>A11:A33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81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A5A590-2C02-431E-B7AE-5C353E29339A}">
          <x14:formula1>
            <xm:f>SOURCE!$E$3:$E$18</xm:f>
          </x14:formula1>
          <xm:sqref>C11:C33</xm:sqref>
        </x14:dataValidation>
        <x14:dataValidation type="list" allowBlank="1" showInputMessage="1" showErrorMessage="1" xr:uid="{D90C61CC-87D2-48EB-8AB7-85D8AD395C0F}">
          <x14:formula1>
            <xm:f>SOURCE!$C$20:$C$21</xm:f>
          </x14:formula1>
          <xm:sqref>D11:D33</xm:sqref>
        </x14:dataValidation>
        <x14:dataValidation type="list" allowBlank="1" showInputMessage="1" showErrorMessage="1" xr:uid="{93FB10A9-40DB-48ED-820E-E2F8D3555608}">
          <x14:formula1>
            <xm:f>SOURCE!$C$3:$C$13</xm:f>
          </x14:formula1>
          <xm:sqref>B11:B33</xm:sqref>
        </x14:dataValidation>
        <x14:dataValidation type="list" allowBlank="1" showInputMessage="1" showErrorMessage="1" xr:uid="{73FBB1FD-AED8-4048-BBEE-8AE93ECD6447}">
          <x14:formula1>
            <xm:f>SOURCE!$A$3:$A$13</xm:f>
          </x14:formula1>
          <xm:sqref>A11:A33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82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B1E85A-5276-4A93-81A4-74A8B7B1AEA0}">
          <x14:formula1>
            <xm:f>SOURCE!$E$3:$E$18</xm:f>
          </x14:formula1>
          <xm:sqref>C11:C33</xm:sqref>
        </x14:dataValidation>
        <x14:dataValidation type="list" allowBlank="1" showInputMessage="1" showErrorMessage="1" xr:uid="{B2CF611D-A542-41F1-96C3-98745E3ABE49}">
          <x14:formula1>
            <xm:f>SOURCE!$C$20:$C$21</xm:f>
          </x14:formula1>
          <xm:sqref>D11:D33</xm:sqref>
        </x14:dataValidation>
        <x14:dataValidation type="list" allowBlank="1" showInputMessage="1" showErrorMessage="1" xr:uid="{544BEA34-9ADA-423F-9787-1A23A799DB08}">
          <x14:formula1>
            <xm:f>SOURCE!$C$3:$C$13</xm:f>
          </x14:formula1>
          <xm:sqref>B11:B33</xm:sqref>
        </x14:dataValidation>
        <x14:dataValidation type="list" allowBlank="1" showInputMessage="1" showErrorMessage="1" xr:uid="{8AD6DB3F-A118-4505-9FA9-7F1311D149ED}">
          <x14:formula1>
            <xm:f>SOURCE!$A$3:$A$13</xm:f>
          </x14:formula1>
          <xm:sqref>A11:A33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B25" sqref="B25"/>
    </sheetView>
  </sheetViews>
  <sheetFormatPr baseColWidth="10" defaultColWidth="11.5703125" defaultRowHeight="15" x14ac:dyDescent="0.25"/>
  <cols>
    <col min="2" max="2" width="40.5703125" customWidth="1"/>
    <col min="12" max="12" width="23.42578125" customWidth="1"/>
    <col min="13" max="13" width="15.5703125" customWidth="1"/>
  </cols>
  <sheetData>
    <row r="1" spans="1:13" ht="15.75" thickBot="1" x14ac:dyDescent="0.3"/>
    <row r="2" spans="1:13" ht="21.75" thickBot="1" x14ac:dyDescent="0.4">
      <c r="E2" s="179" t="s">
        <v>13</v>
      </c>
      <c r="F2" s="180"/>
      <c r="G2" s="180"/>
      <c r="H2" s="180"/>
      <c r="I2" s="180"/>
      <c r="J2" s="181"/>
    </row>
    <row r="6" spans="1:13" ht="15.75" thickBot="1" x14ac:dyDescent="0.3">
      <c r="A6" s="4" t="s">
        <v>0</v>
      </c>
      <c r="B6" s="4" t="s">
        <v>135</v>
      </c>
    </row>
    <row r="7" spans="1:13" ht="16.5" thickBot="1" x14ac:dyDescent="0.3">
      <c r="A7" s="4" t="s">
        <v>11</v>
      </c>
      <c r="B7" s="4" t="s">
        <v>83</v>
      </c>
      <c r="L7" s="197" t="s">
        <v>121</v>
      </c>
      <c r="M7" s="198"/>
    </row>
    <row r="8" spans="1:13" ht="15.75" thickBot="1" x14ac:dyDescent="0.3">
      <c r="L8" s="193" t="s">
        <v>127</v>
      </c>
      <c r="M8" s="194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.75" thickBot="1" x14ac:dyDescent="0.3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25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.75" thickBot="1" x14ac:dyDescent="0.3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25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.75" thickBot="1" x14ac:dyDescent="0.3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25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.75" thickBot="1" x14ac:dyDescent="0.3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25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.75" thickBot="1" x14ac:dyDescent="0.3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25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.75" thickBot="1" x14ac:dyDescent="0.3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25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.75" thickBot="1" x14ac:dyDescent="0.3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25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.75" thickBot="1" x14ac:dyDescent="0.3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25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.75" thickBot="1" x14ac:dyDescent="0.3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25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.75" thickBot="1" x14ac:dyDescent="0.3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25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.75" thickBot="1" x14ac:dyDescent="0.3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25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.75" thickBot="1" x14ac:dyDescent="0.3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.75" thickBot="1" x14ac:dyDescent="0.3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.75" thickBot="1" x14ac:dyDescent="0.3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25">
      <c r="L35" s="32" t="s">
        <v>110</v>
      </c>
      <c r="M35" s="33">
        <f>SUMIFS($J$11:$J$33,$C$11:$C$33,"=24",$D$11:$D$33,"=SDD")</f>
        <v>0</v>
      </c>
    </row>
    <row r="36" spans="1:13" ht="15.75" thickBot="1" x14ac:dyDescent="0.3">
      <c r="L36" s="24" t="s">
        <v>111</v>
      </c>
      <c r="M36" s="25">
        <f>SUMIFS($J$11:$J$33,$C$11:$C$33,"=24",$D$11:$D$33,"=INDUS")</f>
        <v>0</v>
      </c>
    </row>
    <row r="37" spans="1:13" x14ac:dyDescent="0.25">
      <c r="L37" s="195"/>
      <c r="M37" s="196"/>
    </row>
    <row r="38" spans="1:13" ht="15.75" thickBot="1" x14ac:dyDescent="0.3">
      <c r="L38" s="199"/>
      <c r="M38" s="200"/>
    </row>
    <row r="39" spans="1:13" ht="15.75" thickBot="1" x14ac:dyDescent="0.3">
      <c r="L39" s="193" t="s">
        <v>130</v>
      </c>
      <c r="M39" s="194"/>
    </row>
    <row r="40" spans="1:13" x14ac:dyDescent="0.25">
      <c r="L40" s="32" t="s">
        <v>113</v>
      </c>
      <c r="M40" s="33">
        <f>SUMIFS($J$11:$J$33,$A$11:$A$33,"=CMN",$B$11:$B$33,"=FORMATION")</f>
        <v>0</v>
      </c>
    </row>
    <row r="41" spans="1:13" x14ac:dyDescent="0.25">
      <c r="L41" s="22" t="s">
        <v>14</v>
      </c>
      <c r="M41" s="23">
        <f>SUMIFS($J$11:$J$33,$A$11:$A$33,"=CMN",$B$11:$B$33,"=GESTION PROJET")</f>
        <v>0</v>
      </c>
    </row>
    <row r="42" spans="1:13" x14ac:dyDescent="0.25">
      <c r="L42" s="22" t="s">
        <v>15</v>
      </c>
      <c r="M42" s="23">
        <f>SUMIFS($J$11:$J$33,$A$11:$A$33,"=CMN",$B$11:$B$33,"=REUNION")</f>
        <v>0</v>
      </c>
    </row>
    <row r="43" spans="1:13" x14ac:dyDescent="0.25">
      <c r="L43" s="22" t="s">
        <v>131</v>
      </c>
      <c r="M43" s="23">
        <f>SUMIFS($J$11:$J$33,$A$11:$A$33,"=CMN",$B$11:$B$33,"=STRUCTURE")</f>
        <v>0</v>
      </c>
    </row>
    <row r="44" spans="1:13" x14ac:dyDescent="0.25">
      <c r="L44" s="26" t="s">
        <v>12</v>
      </c>
      <c r="M44" s="27">
        <f>SUMIFS($J$11:$J$33,$A$11:$A$33,"=CMN",$B$11:$B$33,"=CARLINGAGE")</f>
        <v>0</v>
      </c>
    </row>
    <row r="45" spans="1:13" x14ac:dyDescent="0.25">
      <c r="L45" s="26" t="s">
        <v>145</v>
      </c>
      <c r="M45" s="27">
        <f>SUMIFS($J$11:$J$33,$A$11:$A$33,"=CMN",$B$11:$B$33,"=PANNE INFORMATIQUE")</f>
        <v>0</v>
      </c>
    </row>
    <row r="46" spans="1:13" ht="15.75" thickBot="1" x14ac:dyDescent="0.3">
      <c r="L46" s="28" t="s">
        <v>146</v>
      </c>
      <c r="M46" s="29">
        <f>SUMIFS($J$11:$J$33,$A$11:$A$33,"=CMN",$B$11:$B$33,"=ATTENTE")</f>
        <v>0</v>
      </c>
    </row>
    <row r="47" spans="1:13" x14ac:dyDescent="0.25">
      <c r="L47" s="199"/>
      <c r="M47" s="200"/>
    </row>
    <row r="48" spans="1:13" ht="15.75" thickBot="1" x14ac:dyDescent="0.3">
      <c r="L48" s="188"/>
      <c r="M48" s="189"/>
    </row>
    <row r="49" spans="12:13" ht="15.75" thickBot="1" x14ac:dyDescent="0.3">
      <c r="L49" s="193" t="s">
        <v>132</v>
      </c>
      <c r="M49" s="194"/>
    </row>
    <row r="50" spans="12:13" x14ac:dyDescent="0.25">
      <c r="L50" s="32" t="s">
        <v>113</v>
      </c>
      <c r="M50" s="33">
        <f>SUMIFS($J$11:$J$33,$A$11:$A$33,"=AUTRE",$B$11:$B$33,"=FORMATION")</f>
        <v>0</v>
      </c>
    </row>
    <row r="51" spans="12:13" x14ac:dyDescent="0.25">
      <c r="L51" s="22" t="s">
        <v>14</v>
      </c>
      <c r="M51" s="23">
        <f>SUMIFS($J$11:$J$33,$A$11:$A$33,"=AUTRE",$B$11:$B$33,"=GESTION PROJET")</f>
        <v>0</v>
      </c>
    </row>
    <row r="52" spans="12:13" x14ac:dyDescent="0.25">
      <c r="L52" s="22" t="s">
        <v>15</v>
      </c>
      <c r="M52" s="23">
        <f>SUMIFS($J$11:$J$33,$A$11:$A$33,"=AUTRE",$B$11:$B$33,"=REUNION")</f>
        <v>0</v>
      </c>
    </row>
    <row r="53" spans="12:13" x14ac:dyDescent="0.25">
      <c r="L53" s="26" t="s">
        <v>131</v>
      </c>
      <c r="M53" s="23">
        <f>SUMIFS($J$11:$J$33,$A$11:$A$33,"=AUTRE",$B$11:$B$33,"=STRUCTURE")</f>
        <v>0</v>
      </c>
    </row>
    <row r="54" spans="12:13" x14ac:dyDescent="0.25">
      <c r="L54" s="26" t="s">
        <v>12</v>
      </c>
      <c r="M54" s="27">
        <f>SUMIFS($J$11:$J$33,$A$11:$A$33,"=AUTRE",$B$11:$B$33,"=CARLINGAGE")</f>
        <v>0</v>
      </c>
    </row>
    <row r="55" spans="12:13" x14ac:dyDescent="0.25">
      <c r="L55" s="26" t="s">
        <v>145</v>
      </c>
      <c r="M55" s="27">
        <f>SUMIFS($J$11:$J$33,$A$11:$A$33,"=AUTRE",$B$11:$B$33,"=PANNE INFORMATIQUE")</f>
        <v>0</v>
      </c>
    </row>
    <row r="56" spans="12:13" ht="15.75" thickBot="1" x14ac:dyDescent="0.3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68D02-A8E7-49D0-B3C7-F060E06EBFFF}">
          <x14:formula1>
            <xm:f>SOURCE!$E$3:$E$18</xm:f>
          </x14:formula1>
          <xm:sqref>C11:C33</xm:sqref>
        </x14:dataValidation>
        <x14:dataValidation type="list" allowBlank="1" showInputMessage="1" showErrorMessage="1" xr:uid="{88CE9D8F-3B4D-4778-8CD4-9E282B206686}">
          <x14:formula1>
            <xm:f>SOURCE!$C$20:$C$21</xm:f>
          </x14:formula1>
          <xm:sqref>D11:D33</xm:sqref>
        </x14:dataValidation>
        <x14:dataValidation type="list" allowBlank="1" showInputMessage="1" showErrorMessage="1" xr:uid="{FA5BB2DA-3C7B-40D8-8E9D-E31EBFBF87E0}">
          <x14:formula1>
            <xm:f>SOURCE!$C$3:$C$13</xm:f>
          </x14:formula1>
          <xm:sqref>B11:B33</xm:sqref>
        </x14:dataValidation>
        <x14:dataValidation type="list" allowBlank="1" showInputMessage="1" showErrorMessage="1" xr:uid="{462FB43F-D92D-4488-AA4A-A423FF5E89CB}">
          <x14:formula1>
            <xm:f>SOURCE!$A$3:$A$13</xm:f>
          </x14:formula1>
          <xm:sqref>A11:A33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5" x14ac:dyDescent="0.25"/>
  <sheetData>
    <row r="6" spans="2:2" x14ac:dyDescent="0.25">
      <c r="B6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3</vt:i4>
      </vt:variant>
    </vt:vector>
  </HeadingPairs>
  <TitlesOfParts>
    <vt:vector size="58" baseType="lpstr">
      <vt:lpstr>BILAN</vt:lpstr>
      <vt:lpstr>SOURCE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  <vt:lpstr>FTI</vt:lpstr>
      <vt:lpstr>METIER</vt:lpstr>
      <vt:lpstr>PROJET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Tanguy MONTFORT</cp:lastModifiedBy>
  <dcterms:created xsi:type="dcterms:W3CDTF">2020-06-17T08:16:39Z</dcterms:created>
  <dcterms:modified xsi:type="dcterms:W3CDTF">2024-07-23T12:50:38Z</dcterms:modified>
</cp:coreProperties>
</file>